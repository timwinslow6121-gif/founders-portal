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TMG Commission Team/BCBS NC/Agent Commission/"/>
    </mc:Choice>
  </mc:AlternateContent>
  <xr:revisionPtr revIDLastSave="0" documentId="8_{4D438EF7-CBBA-4D15-AA95-BFAFD9336CC8}" xr6:coauthVersionLast="47" xr6:coauthVersionMax="47" xr10:uidLastSave="{00000000-0000-0000-0000-000000000000}"/>
  <bookViews>
    <workbookView xWindow="-120" yWindow="-120" windowWidth="29040" windowHeight="15720" xr2:uid="{38BCD31E-03CD-40FA-A547-09E84EC8A253}"/>
  </bookViews>
  <sheets>
    <sheet name="Sheet1" sheetId="1" r:id="rId1"/>
  </sheets>
  <definedNames>
    <definedName name="_xlnm._FilterDatabase" localSheetId="0" hidden="1">Sheet1!$A$1:$O$15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1" l="1"/>
</calcChain>
</file>

<file path=xl/sharedStrings.xml><?xml version="1.0" encoding="utf-8"?>
<sst xmlns="http://schemas.openxmlformats.org/spreadsheetml/2006/main" count="100" uniqueCount="39">
  <si>
    <t>Agent #</t>
  </si>
  <si>
    <t>Agent Name</t>
  </si>
  <si>
    <t>Group Type</t>
  </si>
  <si>
    <t>Customer Type</t>
  </si>
  <si>
    <t>Customer Name</t>
  </si>
  <si>
    <t>Customer No</t>
  </si>
  <si>
    <t>Orig Eff Date</t>
  </si>
  <si>
    <t>Product</t>
  </si>
  <si>
    <t>Coverage From</t>
  </si>
  <si>
    <t>Coverage To</t>
  </si>
  <si>
    <t>Premium Period</t>
  </si>
  <si>
    <t>Orig Sub Count</t>
  </si>
  <si>
    <t>Renewal Date</t>
  </si>
  <si>
    <t>Billed Amount</t>
  </si>
  <si>
    <t>Commission</t>
  </si>
  <si>
    <t>P0056833</t>
  </si>
  <si>
    <t>MICHAEL LAUZURIQUE</t>
  </si>
  <si>
    <t>FY</t>
  </si>
  <si>
    <t>Medicare</t>
  </si>
  <si>
    <t>Bumgardner,Christie Y</t>
  </si>
  <si>
    <t>Blue Medicare Medical Only (HMO-POS)</t>
  </si>
  <si>
    <t>Reynolds,Richard E</t>
  </si>
  <si>
    <t>Blue Medicare Essential Plus (HMO- POS)</t>
  </si>
  <si>
    <t>Trull,Marvin J</t>
  </si>
  <si>
    <t>RENEW</t>
  </si>
  <si>
    <t>Beaty,Barbara A</t>
  </si>
  <si>
    <t>Blue Medicare Enhanced (HMO-POS)</t>
  </si>
  <si>
    <t>Byrd,Vickie A</t>
  </si>
  <si>
    <t>Harding,Wesley</t>
  </si>
  <si>
    <t>Koman Jr,Charles</t>
  </si>
  <si>
    <t>Lawrence,Cheryl</t>
  </si>
  <si>
    <t>MedSupp G 2019</t>
  </si>
  <si>
    <t>Ortiz Maldonado,Orlando</t>
  </si>
  <si>
    <t>Smith,Sylvia B</t>
  </si>
  <si>
    <t>Wiley,Betty J</t>
  </si>
  <si>
    <t>ADJUSTMENT</t>
  </si>
  <si>
    <t>Med Adv Indiv</t>
  </si>
  <si>
    <t>Reynolds,Richard E 2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</si>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</sst>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8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03B8-5893-45FB-8502-880C9A86EE5E}">
  <dimension ref="A1:O17"/>
  <sheetViews>
    <sheetView tabSelected="1" workbookViewId="0">
      <selection activeCell="N17" sqref="N17"/>
    </sheetView>
  </sheetViews>
  <sheetFormatPr defaultRowHeight="15" x14ac:dyDescent="0.25"/>
  <cols>
    <col min="2" max="2" width="20.28515625" bestFit="1" customWidth="1"/>
    <col min="3" max="3" width="12.42578125" bestFit="1" customWidth="1"/>
    <col min="4" max="4" width="14.85546875" bestFit="1" customWidth="1"/>
    <col min="5" max="5" width="24" bestFit="1" customWidth="1"/>
    <col min="6" max="6" width="13.140625" bestFit="1" customWidth="1"/>
    <col min="7" max="7" width="12.42578125" bestFit="1" customWidth="1"/>
    <col min="8" max="8" width="38" bestFit="1" customWidth="1"/>
    <col min="9" max="9" width="14.7109375" bestFit="1" customWidth="1"/>
    <col min="10" max="10" width="12.140625" bestFit="1" customWidth="1"/>
    <col min="11" max="11" width="15.5703125" bestFit="1" customWidth="1"/>
    <col min="12" max="12" width="14.7109375" bestFit="1" customWidth="1"/>
    <col min="13" max="13" width="13.5703125" bestFit="1" customWidth="1"/>
    <col min="14" max="14" width="13.7109375" bestFit="1" customWidth="1"/>
    <col min="15" max="15" width="12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35</v>
      </c>
      <c r="D2" t="s">
        <v>18</v>
      </c>
      <c r="E2" t="s">
        <v>21</v>
      </c>
      <c r="F2">
        <v>106818257</v>
      </c>
      <c r="H2" t="s">
        <v>36</v>
      </c>
      <c r="K2" s="2">
        <v>46082</v>
      </c>
      <c r="O2" s="3">
        <v>-289.10000000000002</v>
      </c>
    </row>
    <row r="3" spans="1:15" x14ac:dyDescent="0.25">
      <c r="A3" t="s">
        <v>15</v>
      </c>
      <c r="B3" t="s">
        <v>16</v>
      </c>
      <c r="C3" t="s">
        <v>35</v>
      </c>
      <c r="D3" t="s">
        <v>18</v>
      </c>
      <c r="E3" t="s">
        <v>37</v>
      </c>
      <c r="F3">
        <v>106818257</v>
      </c>
      <c r="H3" t="s">
        <v>36</v>
      </c>
      <c r="K3" s="2">
        <v>46082</v>
      </c>
      <c r="O3" s="3">
        <v>694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106801136</v>
      </c>
      <c r="G4" s="2">
        <v>46023</v>
      </c>
      <c r="H4" t="s">
        <v>20</v>
      </c>
      <c r="I4" s="2">
        <v>46023</v>
      </c>
      <c r="K4" s="2">
        <v>46143</v>
      </c>
      <c r="L4">
        <v>1</v>
      </c>
      <c r="M4" s="2">
        <v>46023</v>
      </c>
      <c r="N4" s="3">
        <v>0</v>
      </c>
      <c r="O4" s="3">
        <v>0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21</v>
      </c>
      <c r="F5">
        <v>106818257</v>
      </c>
      <c r="G5" s="2">
        <v>46082</v>
      </c>
      <c r="H5" t="s">
        <v>22</v>
      </c>
      <c r="I5" s="2">
        <v>46082</v>
      </c>
      <c r="K5" s="2">
        <v>46143</v>
      </c>
      <c r="L5">
        <v>1</v>
      </c>
      <c r="M5" s="2">
        <v>46082</v>
      </c>
      <c r="N5" s="3">
        <v>0</v>
      </c>
      <c r="O5" s="3">
        <v>0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23</v>
      </c>
      <c r="F6">
        <v>106810291</v>
      </c>
      <c r="G6" s="2">
        <v>46023</v>
      </c>
      <c r="H6" t="s">
        <v>22</v>
      </c>
      <c r="I6" s="2">
        <v>46023</v>
      </c>
      <c r="K6" s="2">
        <v>46143</v>
      </c>
      <c r="L6">
        <v>1</v>
      </c>
      <c r="M6" s="2">
        <v>46023</v>
      </c>
      <c r="N6" s="3">
        <v>0</v>
      </c>
      <c r="O6" s="3">
        <v>0</v>
      </c>
    </row>
    <row r="7" spans="1:15" x14ac:dyDescent="0.25">
      <c r="A7" t="s">
        <v>15</v>
      </c>
      <c r="B7" t="s">
        <v>16</v>
      </c>
      <c r="C7" t="s">
        <v>24</v>
      </c>
      <c r="D7" t="s">
        <v>18</v>
      </c>
      <c r="E7" t="s">
        <v>25</v>
      </c>
      <c r="F7">
        <v>106635240</v>
      </c>
      <c r="G7" s="2">
        <v>44075</v>
      </c>
      <c r="H7" t="s">
        <v>22</v>
      </c>
      <c r="I7" s="2">
        <v>45292</v>
      </c>
      <c r="J7" s="2">
        <v>46112</v>
      </c>
      <c r="K7" s="2">
        <v>46143</v>
      </c>
      <c r="L7">
        <v>6</v>
      </c>
      <c r="M7" s="2">
        <v>46113</v>
      </c>
      <c r="N7" s="3">
        <v>0</v>
      </c>
      <c r="O7" s="3">
        <v>28.91</v>
      </c>
    </row>
    <row r="8" spans="1:15" x14ac:dyDescent="0.25">
      <c r="A8" t="s">
        <v>15</v>
      </c>
      <c r="B8" t="s">
        <v>16</v>
      </c>
      <c r="C8" t="s">
        <v>24</v>
      </c>
      <c r="D8" t="s">
        <v>18</v>
      </c>
      <c r="E8" t="s">
        <v>25</v>
      </c>
      <c r="F8">
        <v>106635240</v>
      </c>
      <c r="G8" s="2">
        <v>44075</v>
      </c>
      <c r="H8" t="s">
        <v>26</v>
      </c>
      <c r="I8" s="2">
        <v>46113</v>
      </c>
      <c r="K8" s="2">
        <v>46143</v>
      </c>
      <c r="L8">
        <v>6</v>
      </c>
      <c r="M8" s="2">
        <v>46113</v>
      </c>
      <c r="N8" s="3">
        <v>59.2</v>
      </c>
      <c r="O8" s="3">
        <v>28.91</v>
      </c>
    </row>
    <row r="9" spans="1:15" x14ac:dyDescent="0.25">
      <c r="A9" t="s">
        <v>15</v>
      </c>
      <c r="B9" t="s">
        <v>16</v>
      </c>
      <c r="C9" t="s">
        <v>24</v>
      </c>
      <c r="D9" t="s">
        <v>18</v>
      </c>
      <c r="E9" t="s">
        <v>27</v>
      </c>
      <c r="F9">
        <v>106733525</v>
      </c>
      <c r="G9" s="2">
        <v>45658</v>
      </c>
      <c r="H9" t="s">
        <v>20</v>
      </c>
      <c r="I9" s="2">
        <v>45658</v>
      </c>
      <c r="K9" s="2">
        <v>46143</v>
      </c>
      <c r="L9">
        <v>2</v>
      </c>
      <c r="M9" s="2">
        <v>45658</v>
      </c>
      <c r="N9" s="3">
        <v>0</v>
      </c>
      <c r="O9" s="3">
        <v>28.91</v>
      </c>
    </row>
    <row r="10" spans="1:15" x14ac:dyDescent="0.25">
      <c r="A10" t="s">
        <v>15</v>
      </c>
      <c r="B10" t="s">
        <v>16</v>
      </c>
      <c r="C10" t="s">
        <v>24</v>
      </c>
      <c r="D10" t="s">
        <v>18</v>
      </c>
      <c r="E10" t="s">
        <v>28</v>
      </c>
      <c r="F10">
        <v>106763450</v>
      </c>
      <c r="G10" s="2">
        <v>45689</v>
      </c>
      <c r="H10" t="s">
        <v>20</v>
      </c>
      <c r="I10" s="2">
        <v>45689</v>
      </c>
      <c r="K10" s="2">
        <v>46143</v>
      </c>
      <c r="L10">
        <v>2</v>
      </c>
      <c r="M10" s="2">
        <v>45689</v>
      </c>
      <c r="N10" s="3">
        <v>0</v>
      </c>
      <c r="O10" s="3">
        <v>28.91</v>
      </c>
    </row>
    <row r="11" spans="1:15" x14ac:dyDescent="0.25">
      <c r="A11" t="s">
        <v>15</v>
      </c>
      <c r="B11" t="s">
        <v>16</v>
      </c>
      <c r="C11" t="s">
        <v>24</v>
      </c>
      <c r="D11" t="s">
        <v>18</v>
      </c>
      <c r="E11" t="s">
        <v>29</v>
      </c>
      <c r="F11">
        <v>106729935</v>
      </c>
      <c r="G11" s="2">
        <v>45658</v>
      </c>
      <c r="H11" t="s">
        <v>20</v>
      </c>
      <c r="I11" s="2">
        <v>45658</v>
      </c>
      <c r="K11" s="2">
        <v>46143</v>
      </c>
      <c r="L11">
        <v>2</v>
      </c>
      <c r="M11" s="2">
        <v>45658</v>
      </c>
      <c r="N11" s="3">
        <v>0</v>
      </c>
      <c r="O11" s="3">
        <v>28.91</v>
      </c>
    </row>
    <row r="12" spans="1:15" x14ac:dyDescent="0.25">
      <c r="A12" t="s">
        <v>15</v>
      </c>
      <c r="B12" t="s">
        <v>16</v>
      </c>
      <c r="C12" t="s">
        <v>24</v>
      </c>
      <c r="D12" t="s">
        <v>18</v>
      </c>
      <c r="E12" t="s">
        <v>30</v>
      </c>
      <c r="F12">
        <v>112496295</v>
      </c>
      <c r="G12" s="2">
        <v>45778</v>
      </c>
      <c r="H12" t="s">
        <v>31</v>
      </c>
      <c r="I12" s="2">
        <v>45778</v>
      </c>
      <c r="K12" s="2">
        <v>46143</v>
      </c>
      <c r="L12">
        <v>1</v>
      </c>
      <c r="N12" s="3">
        <v>133.5</v>
      </c>
      <c r="O12" s="3">
        <v>20</v>
      </c>
    </row>
    <row r="13" spans="1:15" x14ac:dyDescent="0.25">
      <c r="A13" t="s">
        <v>15</v>
      </c>
      <c r="B13" t="s">
        <v>16</v>
      </c>
      <c r="C13" t="s">
        <v>24</v>
      </c>
      <c r="D13" t="s">
        <v>18</v>
      </c>
      <c r="E13" t="s">
        <v>32</v>
      </c>
      <c r="F13">
        <v>106763722</v>
      </c>
      <c r="G13" s="2">
        <v>45689</v>
      </c>
      <c r="H13" t="s">
        <v>22</v>
      </c>
      <c r="I13" s="2">
        <v>46023</v>
      </c>
      <c r="K13" s="2">
        <v>46143</v>
      </c>
      <c r="L13">
        <v>2</v>
      </c>
      <c r="M13" s="2">
        <v>45689</v>
      </c>
      <c r="N13" s="3">
        <v>0</v>
      </c>
      <c r="O13" s="3">
        <v>28.91</v>
      </c>
    </row>
    <row r="14" spans="1:15" x14ac:dyDescent="0.25">
      <c r="A14" t="s">
        <v>15</v>
      </c>
      <c r="B14" t="s">
        <v>16</v>
      </c>
      <c r="C14" t="s">
        <v>24</v>
      </c>
      <c r="D14" t="s">
        <v>18</v>
      </c>
      <c r="E14" t="s">
        <v>33</v>
      </c>
      <c r="F14">
        <v>106766431</v>
      </c>
      <c r="G14" s="2">
        <v>45689</v>
      </c>
      <c r="H14" t="s">
        <v>20</v>
      </c>
      <c r="I14" s="2">
        <v>45689</v>
      </c>
      <c r="K14" s="2">
        <v>46143</v>
      </c>
      <c r="L14">
        <v>2</v>
      </c>
      <c r="M14" s="2">
        <v>45689</v>
      </c>
      <c r="N14" s="3">
        <v>0</v>
      </c>
      <c r="O14" s="3">
        <v>28.91</v>
      </c>
    </row>
    <row r="15" spans="1:15" x14ac:dyDescent="0.25">
      <c r="A15" t="s">
        <v>15</v>
      </c>
      <c r="B15" t="s">
        <v>16</v>
      </c>
      <c r="C15" t="s">
        <v>24</v>
      </c>
      <c r="D15" t="s">
        <v>18</v>
      </c>
      <c r="E15" t="s">
        <v>34</v>
      </c>
      <c r="F15">
        <v>106762626</v>
      </c>
      <c r="G15" s="2">
        <v>45658</v>
      </c>
      <c r="H15" t="s">
        <v>20</v>
      </c>
      <c r="I15" s="2">
        <v>45658</v>
      </c>
      <c r="K15" s="2">
        <v>46143</v>
      </c>
      <c r="L15">
        <v>2</v>
      </c>
      <c r="M15" s="2">
        <v>45658</v>
      </c>
      <c r="N15" s="3">
        <v>0</v>
      </c>
      <c r="O15" s="3">
        <v>28.91</v>
      </c>
    </row>
    <row r="17" spans="14:15" x14ac:dyDescent="0.25">
      <c r="N17" s="1" t="s">
        <v>38</v>
      </c>
      <c r="O17" s="4">
        <f>SUM(O2:O16)</f>
        <v>656.18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Props1.xml><?xml version="1.0" encoding="utf-8"?>
<ds:datastoreItem xmlns:ds="http://schemas.openxmlformats.org/officeDocument/2006/customXml" ds:itemID="{5CA626E3-4456-40E6-9933-681D8B98926C}"/>
</file>

<file path=customXml/itemProps2.xml><?xml version="1.0" encoding="utf-8"?>
<ds:datastoreItem xmlns:ds="http://schemas.openxmlformats.org/officeDocument/2006/customXml" ds:itemID="{E579E944-43B3-467C-8D63-9D3EE01279E8}"/>
</file>

<file path=customXml/itemProps3.xml><?xml version="1.0" encoding="utf-8"?>
<ds:datastoreItem xmlns:ds="http://schemas.openxmlformats.org/officeDocument/2006/customXml" ds:itemID="{31765DBE-4450-4540-8DA7-ACE3BC7727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Melanie Hooks</cp:lastModifiedBy>
  <dcterms:created xsi:type="dcterms:W3CDTF">2026-05-11T18:11:05Z</dcterms:created>
  <dcterms:modified xsi:type="dcterms:W3CDTF">2026-05-11T18:12:09Z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