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633939E2-A3CF-4819-A436-E84C4E9C9AC6}" xr6:coauthVersionLast="47" xr6:coauthVersionMax="47" xr10:uidLastSave="{00000000-0000-0000-0000-000000000000}"/>
  <bookViews>
    <workbookView xWindow="-120" yWindow="-120" windowWidth="29040" windowHeight="15720" xr2:uid="{14B0B33C-C34D-4FA1-80F1-C3673C7AF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1" l="1"/>
</calcChain>
</file>

<file path=xl/sharedStrings.xml><?xml version="1.0" encoding="utf-8"?>
<sst xmlns="http://schemas.openxmlformats.org/spreadsheetml/2006/main" count="166" uniqueCount="55">
  <si>
    <t>Agent #</t>
  </si>
  <si>
    <t>Agent Name</t>
  </si>
  <si>
    <t>Group Type</t>
  </si>
  <si>
    <t>Customer Type</t>
  </si>
  <si>
    <t>Customer Name</t>
  </si>
  <si>
    <t>Customer No</t>
  </si>
  <si>
    <t>Orig Eff Date</t>
  </si>
  <si>
    <t>Product</t>
  </si>
  <si>
    <t>Coverage From</t>
  </si>
  <si>
    <t>Coverage To</t>
  </si>
  <si>
    <t>Premium Period</t>
  </si>
  <si>
    <t>Orig Sub Count</t>
  </si>
  <si>
    <t>Renewal Date</t>
  </si>
  <si>
    <t>Billed Amount</t>
  </si>
  <si>
    <t>Commission</t>
  </si>
  <si>
    <t>P0056227</t>
  </si>
  <si>
    <t>TIMOTHY WINSLOW</t>
  </si>
  <si>
    <t>FY</t>
  </si>
  <si>
    <t>Medicare</t>
  </si>
  <si>
    <t>Canaday,Gayle</t>
  </si>
  <si>
    <t>MedSupp G 2019</t>
  </si>
  <si>
    <t>HUFF,CHRISTOPHER</t>
  </si>
  <si>
    <t>Dental Blue for Individuals</t>
  </si>
  <si>
    <t>SCHWARZ,BLANCHE</t>
  </si>
  <si>
    <t>Dental Blue PPO DPP</t>
  </si>
  <si>
    <t>Sanders,Sharon L</t>
  </si>
  <si>
    <t>Blue Medicare Freedom+ (PPO)</t>
  </si>
  <si>
    <t>RENEW</t>
  </si>
  <si>
    <t>Alford,Julia W</t>
  </si>
  <si>
    <t>Blue Medicare Medical Only (HMO-POS)</t>
  </si>
  <si>
    <t>Barer,Harvey S</t>
  </si>
  <si>
    <t>Blue Medicare Enhanced (HMO-POS)</t>
  </si>
  <si>
    <t>Bingham,Rebecca G</t>
  </si>
  <si>
    <t>Buchanan,Nancy H</t>
  </si>
  <si>
    <t>Carney,Beverly H</t>
  </si>
  <si>
    <t>Chappell,Patricia S</t>
  </si>
  <si>
    <t>Blue Medicare PPO Enhanced (PPO)</t>
  </si>
  <si>
    <t>Cheatham,William</t>
  </si>
  <si>
    <t>Cowans,Patricia A</t>
  </si>
  <si>
    <t>Crayton,Gerald L</t>
  </si>
  <si>
    <t>Griffin,Margaret L</t>
  </si>
  <si>
    <t>Long,Kathryn W</t>
  </si>
  <si>
    <t>Mee,Mary A</t>
  </si>
  <si>
    <t>Nikolakopoulos,Georgios</t>
  </si>
  <si>
    <t>Blue Medicare Essential Plus (HMO- POS)</t>
  </si>
  <si>
    <t>Palmer,Barbara R</t>
  </si>
  <si>
    <t>Patterson,Edith D</t>
  </si>
  <si>
    <t>Redmond,Linda C</t>
  </si>
  <si>
    <t>Healthy Blue + Medicare (HMO-POS D-SNP)</t>
  </si>
  <si>
    <t>Resch,Wanda H</t>
  </si>
  <si>
    <t>Stinson,Florence A</t>
  </si>
  <si>
    <t>Vacca,Michele N</t>
  </si>
  <si>
    <t>White,David</t>
  </si>
  <si>
    <t>White,Jan 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</si>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</sst>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0369-BDAF-4466-A3AD-5748E3760F68}">
  <dimension ref="A1:O28"/>
  <sheetViews>
    <sheetView tabSelected="1" workbookViewId="0">
      <selection activeCell="N28" sqref="N28"/>
    </sheetView>
  </sheetViews>
  <sheetFormatPr defaultRowHeight="15" x14ac:dyDescent="0.25"/>
  <cols>
    <col min="2" max="2" width="18.28515625" bestFit="1" customWidth="1"/>
    <col min="3" max="3" width="11.28515625" bestFit="1" customWidth="1"/>
    <col min="4" max="4" width="14.85546875" bestFit="1" customWidth="1"/>
    <col min="5" max="5" width="24" bestFit="1" customWidth="1"/>
    <col min="6" max="6" width="13.140625" bestFit="1" customWidth="1"/>
    <col min="7" max="7" width="12.42578125" bestFit="1" customWidth="1"/>
    <col min="8" max="8" width="39.28515625" bestFit="1" customWidth="1"/>
    <col min="9" max="9" width="14.7109375" bestFit="1" customWidth="1"/>
    <col min="10" max="10" width="12.140625" bestFit="1" customWidth="1"/>
    <col min="11" max="11" width="15.5703125" bestFit="1" customWidth="1"/>
    <col min="12" max="12" width="14.7109375" bestFit="1" customWidth="1"/>
    <col min="13" max="13" width="13.5703125" bestFit="1" customWidth="1"/>
    <col min="14" max="14" width="13.7109375" bestFit="1" customWidth="1"/>
    <col min="15" max="15" width="12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112850623</v>
      </c>
      <c r="G2" s="2">
        <v>46054</v>
      </c>
      <c r="H2" t="s">
        <v>20</v>
      </c>
      <c r="I2" s="2">
        <v>46054</v>
      </c>
      <c r="K2" s="2">
        <v>46143</v>
      </c>
      <c r="L2">
        <v>1</v>
      </c>
      <c r="N2" s="3">
        <v>307.25</v>
      </c>
      <c r="O2" s="3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21</v>
      </c>
      <c r="F3">
        <v>112776248</v>
      </c>
      <c r="G3" s="2">
        <v>46023</v>
      </c>
      <c r="H3" t="s">
        <v>22</v>
      </c>
      <c r="I3" s="2">
        <v>46023</v>
      </c>
      <c r="K3" s="2">
        <v>46143</v>
      </c>
      <c r="L3">
        <v>1</v>
      </c>
      <c r="N3" s="3">
        <v>84.65</v>
      </c>
      <c r="O3" s="3">
        <v>6.7720000000000002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23</v>
      </c>
      <c r="F4">
        <v>112885454</v>
      </c>
      <c r="G4" s="2">
        <v>46054</v>
      </c>
      <c r="H4" t="s">
        <v>24</v>
      </c>
      <c r="I4" s="2">
        <v>46054</v>
      </c>
      <c r="K4" s="2">
        <v>46143</v>
      </c>
      <c r="L4">
        <v>1</v>
      </c>
      <c r="N4" s="3">
        <v>23.86</v>
      </c>
      <c r="O4" s="3">
        <v>1.9088000000000001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25</v>
      </c>
      <c r="F5">
        <v>106811352</v>
      </c>
      <c r="G5" s="2">
        <v>46023</v>
      </c>
      <c r="H5" t="s">
        <v>26</v>
      </c>
      <c r="I5" s="2">
        <v>46023</v>
      </c>
      <c r="K5" s="2">
        <v>46143</v>
      </c>
      <c r="L5">
        <v>1</v>
      </c>
      <c r="M5" s="2">
        <v>46023</v>
      </c>
      <c r="N5" s="3">
        <v>0</v>
      </c>
      <c r="O5" s="3">
        <v>0</v>
      </c>
    </row>
    <row r="6" spans="1:15" x14ac:dyDescent="0.25">
      <c r="A6" t="s">
        <v>15</v>
      </c>
      <c r="B6" t="s">
        <v>16</v>
      </c>
      <c r="C6" t="s">
        <v>27</v>
      </c>
      <c r="D6" t="s">
        <v>18</v>
      </c>
      <c r="E6" t="s">
        <v>28</v>
      </c>
      <c r="F6">
        <v>106695690</v>
      </c>
      <c r="G6" s="2">
        <v>45292</v>
      </c>
      <c r="H6" t="s">
        <v>29</v>
      </c>
      <c r="I6" s="2">
        <v>45292</v>
      </c>
      <c r="K6" s="2">
        <v>46143</v>
      </c>
      <c r="L6">
        <v>3</v>
      </c>
      <c r="M6" s="2">
        <v>45292</v>
      </c>
      <c r="N6" s="3">
        <v>0</v>
      </c>
      <c r="O6" s="3">
        <v>28.91</v>
      </c>
    </row>
    <row r="7" spans="1:15" x14ac:dyDescent="0.25">
      <c r="A7" t="s">
        <v>15</v>
      </c>
      <c r="B7" t="s">
        <v>16</v>
      </c>
      <c r="C7" t="s">
        <v>27</v>
      </c>
      <c r="D7" t="s">
        <v>18</v>
      </c>
      <c r="E7" t="s">
        <v>30</v>
      </c>
      <c r="F7">
        <v>106756098</v>
      </c>
      <c r="G7" s="2">
        <v>45658</v>
      </c>
      <c r="H7" t="s">
        <v>31</v>
      </c>
      <c r="I7" s="2">
        <v>45658</v>
      </c>
      <c r="K7" s="2">
        <v>46143</v>
      </c>
      <c r="L7">
        <v>2</v>
      </c>
      <c r="M7" s="2">
        <v>45658</v>
      </c>
      <c r="N7" s="3">
        <v>30</v>
      </c>
      <c r="O7" s="3">
        <v>28.91</v>
      </c>
    </row>
    <row r="8" spans="1:15" x14ac:dyDescent="0.25">
      <c r="A8" t="s">
        <v>15</v>
      </c>
      <c r="B8" t="s">
        <v>16</v>
      </c>
      <c r="C8" t="s">
        <v>27</v>
      </c>
      <c r="D8" t="s">
        <v>18</v>
      </c>
      <c r="E8" t="s">
        <v>32</v>
      </c>
      <c r="F8">
        <v>106549854</v>
      </c>
      <c r="G8" s="2">
        <v>44927</v>
      </c>
      <c r="H8" t="s">
        <v>31</v>
      </c>
      <c r="I8" s="2">
        <v>45658</v>
      </c>
      <c r="K8" s="2">
        <v>46143</v>
      </c>
      <c r="L8">
        <v>4</v>
      </c>
      <c r="M8" s="2">
        <v>45658</v>
      </c>
      <c r="N8" s="3">
        <v>30</v>
      </c>
      <c r="O8" s="3">
        <v>28.91</v>
      </c>
    </row>
    <row r="9" spans="1:15" x14ac:dyDescent="0.25">
      <c r="A9" t="s">
        <v>15</v>
      </c>
      <c r="B9" t="s">
        <v>16</v>
      </c>
      <c r="C9" t="s">
        <v>27</v>
      </c>
      <c r="D9" t="s">
        <v>18</v>
      </c>
      <c r="E9" t="s">
        <v>33</v>
      </c>
      <c r="F9">
        <v>106728104</v>
      </c>
      <c r="G9" s="2">
        <v>45658</v>
      </c>
      <c r="H9" t="s">
        <v>29</v>
      </c>
      <c r="I9" s="2">
        <v>45658</v>
      </c>
      <c r="K9" s="2">
        <v>46143</v>
      </c>
      <c r="L9">
        <v>2</v>
      </c>
      <c r="M9" s="2">
        <v>45658</v>
      </c>
      <c r="N9" s="3">
        <v>0</v>
      </c>
      <c r="O9" s="3">
        <v>28.91</v>
      </c>
    </row>
    <row r="10" spans="1:15" x14ac:dyDescent="0.25">
      <c r="A10" t="s">
        <v>15</v>
      </c>
      <c r="B10" t="s">
        <v>16</v>
      </c>
      <c r="C10" t="s">
        <v>27</v>
      </c>
      <c r="D10" t="s">
        <v>18</v>
      </c>
      <c r="E10" t="s">
        <v>34</v>
      </c>
      <c r="F10">
        <v>106697833</v>
      </c>
      <c r="G10" s="2">
        <v>45292</v>
      </c>
      <c r="H10" t="s">
        <v>29</v>
      </c>
      <c r="I10" s="2">
        <v>45292</v>
      </c>
      <c r="K10" s="2">
        <v>46143</v>
      </c>
      <c r="L10">
        <v>3</v>
      </c>
      <c r="M10" s="2">
        <v>45292</v>
      </c>
      <c r="N10" s="3">
        <v>0</v>
      </c>
      <c r="O10" s="3">
        <v>28.91</v>
      </c>
    </row>
    <row r="11" spans="1:15" x14ac:dyDescent="0.25">
      <c r="A11" t="s">
        <v>15</v>
      </c>
      <c r="B11" t="s">
        <v>16</v>
      </c>
      <c r="C11" t="s">
        <v>27</v>
      </c>
      <c r="D11" t="s">
        <v>18</v>
      </c>
      <c r="E11" t="s">
        <v>35</v>
      </c>
      <c r="F11">
        <v>106732302</v>
      </c>
      <c r="G11" s="2">
        <v>45658</v>
      </c>
      <c r="H11" t="s">
        <v>36</v>
      </c>
      <c r="I11" s="2">
        <v>45658</v>
      </c>
      <c r="K11" s="2">
        <v>46143</v>
      </c>
      <c r="L11">
        <v>2</v>
      </c>
      <c r="M11" s="2">
        <v>45658</v>
      </c>
      <c r="N11" s="3">
        <v>6</v>
      </c>
      <c r="O11" s="3">
        <v>28.91</v>
      </c>
    </row>
    <row r="12" spans="1:15" x14ac:dyDescent="0.25">
      <c r="A12" t="s">
        <v>15</v>
      </c>
      <c r="B12" t="s">
        <v>16</v>
      </c>
      <c r="C12" t="s">
        <v>27</v>
      </c>
      <c r="D12" t="s">
        <v>18</v>
      </c>
      <c r="E12" t="s">
        <v>37</v>
      </c>
      <c r="F12">
        <v>106736912</v>
      </c>
      <c r="G12" s="2">
        <v>45658</v>
      </c>
      <c r="H12" t="s">
        <v>31</v>
      </c>
      <c r="I12" s="2">
        <v>45658</v>
      </c>
      <c r="K12" s="2">
        <v>46143</v>
      </c>
      <c r="L12">
        <v>2</v>
      </c>
      <c r="M12" s="2">
        <v>45658</v>
      </c>
      <c r="N12" s="3">
        <v>30</v>
      </c>
      <c r="O12" s="3">
        <v>28.91</v>
      </c>
    </row>
    <row r="13" spans="1:15" x14ac:dyDescent="0.25">
      <c r="A13" t="s">
        <v>15</v>
      </c>
      <c r="B13" t="s">
        <v>16</v>
      </c>
      <c r="C13" t="s">
        <v>27</v>
      </c>
      <c r="D13" t="s">
        <v>18</v>
      </c>
      <c r="E13" t="s">
        <v>38</v>
      </c>
      <c r="F13">
        <v>106708873</v>
      </c>
      <c r="G13" s="2">
        <v>45292</v>
      </c>
      <c r="H13" t="s">
        <v>26</v>
      </c>
      <c r="I13" s="2">
        <v>45292</v>
      </c>
      <c r="K13" s="2">
        <v>46143</v>
      </c>
      <c r="L13">
        <v>3</v>
      </c>
      <c r="M13" s="2">
        <v>45292</v>
      </c>
      <c r="N13" s="3">
        <v>0</v>
      </c>
      <c r="O13" s="3">
        <v>28.91</v>
      </c>
    </row>
    <row r="14" spans="1:15" x14ac:dyDescent="0.25">
      <c r="A14" t="s">
        <v>15</v>
      </c>
      <c r="B14" t="s">
        <v>16</v>
      </c>
      <c r="C14" t="s">
        <v>27</v>
      </c>
      <c r="D14" t="s">
        <v>18</v>
      </c>
      <c r="E14" t="s">
        <v>39</v>
      </c>
      <c r="F14">
        <v>106708853</v>
      </c>
      <c r="G14" s="2">
        <v>45292</v>
      </c>
      <c r="H14" t="s">
        <v>29</v>
      </c>
      <c r="I14" s="2">
        <v>45292</v>
      </c>
      <c r="K14" s="2">
        <v>46143</v>
      </c>
      <c r="L14">
        <v>3</v>
      </c>
      <c r="M14" s="2">
        <v>45292</v>
      </c>
      <c r="N14" s="3">
        <v>0</v>
      </c>
      <c r="O14" s="3">
        <v>28.91</v>
      </c>
    </row>
    <row r="15" spans="1:15" x14ac:dyDescent="0.25">
      <c r="A15" t="s">
        <v>15</v>
      </c>
      <c r="B15" t="s">
        <v>16</v>
      </c>
      <c r="C15" t="s">
        <v>27</v>
      </c>
      <c r="D15" t="s">
        <v>18</v>
      </c>
      <c r="E15" t="s">
        <v>40</v>
      </c>
      <c r="F15">
        <v>106737129</v>
      </c>
      <c r="G15" s="2">
        <v>45658</v>
      </c>
      <c r="H15" t="s">
        <v>31</v>
      </c>
      <c r="I15" s="2">
        <v>45658</v>
      </c>
      <c r="K15" s="2">
        <v>46143</v>
      </c>
      <c r="L15">
        <v>2</v>
      </c>
      <c r="M15" s="2">
        <v>45658</v>
      </c>
      <c r="N15" s="3">
        <v>30</v>
      </c>
      <c r="O15" s="3">
        <v>28.91</v>
      </c>
    </row>
    <row r="16" spans="1:15" x14ac:dyDescent="0.25">
      <c r="A16" t="s">
        <v>15</v>
      </c>
      <c r="B16" t="s">
        <v>16</v>
      </c>
      <c r="C16" t="s">
        <v>27</v>
      </c>
      <c r="D16" t="s">
        <v>18</v>
      </c>
      <c r="E16" t="s">
        <v>41</v>
      </c>
      <c r="F16">
        <v>106694505</v>
      </c>
      <c r="G16" s="2">
        <v>45292</v>
      </c>
      <c r="H16" t="s">
        <v>29</v>
      </c>
      <c r="I16" s="2">
        <v>45292</v>
      </c>
      <c r="K16" s="2">
        <v>46143</v>
      </c>
      <c r="L16">
        <v>3</v>
      </c>
      <c r="M16" s="2">
        <v>45658</v>
      </c>
      <c r="N16" s="3">
        <v>0</v>
      </c>
      <c r="O16" s="3">
        <v>28.91</v>
      </c>
    </row>
    <row r="17" spans="1:15" x14ac:dyDescent="0.25">
      <c r="A17" t="s">
        <v>15</v>
      </c>
      <c r="B17" t="s">
        <v>16</v>
      </c>
      <c r="C17" t="s">
        <v>27</v>
      </c>
      <c r="D17" t="s">
        <v>18</v>
      </c>
      <c r="E17" t="s">
        <v>42</v>
      </c>
      <c r="F17">
        <v>106695685</v>
      </c>
      <c r="G17" s="2">
        <v>45292</v>
      </c>
      <c r="H17" t="s">
        <v>29</v>
      </c>
      <c r="I17" s="2">
        <v>45292</v>
      </c>
      <c r="K17" s="2">
        <v>46143</v>
      </c>
      <c r="L17">
        <v>3</v>
      </c>
      <c r="M17" s="2">
        <v>45292</v>
      </c>
      <c r="N17" s="3">
        <v>0</v>
      </c>
      <c r="O17" s="3">
        <v>28.91</v>
      </c>
    </row>
    <row r="18" spans="1:15" x14ac:dyDescent="0.25">
      <c r="A18" t="s">
        <v>15</v>
      </c>
      <c r="B18" t="s">
        <v>16</v>
      </c>
      <c r="C18" t="s">
        <v>27</v>
      </c>
      <c r="D18" t="s">
        <v>18</v>
      </c>
      <c r="E18" t="s">
        <v>43</v>
      </c>
      <c r="F18">
        <v>106708858</v>
      </c>
      <c r="G18" s="2">
        <v>45292</v>
      </c>
      <c r="H18" t="s">
        <v>44</v>
      </c>
      <c r="I18" s="2">
        <v>45292</v>
      </c>
      <c r="K18" s="2">
        <v>46143</v>
      </c>
      <c r="L18">
        <v>3</v>
      </c>
      <c r="M18" s="2">
        <v>45292</v>
      </c>
      <c r="N18" s="3">
        <v>0</v>
      </c>
      <c r="O18" s="3">
        <v>28.91</v>
      </c>
    </row>
    <row r="19" spans="1:15" x14ac:dyDescent="0.25">
      <c r="A19" t="s">
        <v>15</v>
      </c>
      <c r="B19" t="s">
        <v>16</v>
      </c>
      <c r="C19" t="s">
        <v>27</v>
      </c>
      <c r="D19" t="s">
        <v>18</v>
      </c>
      <c r="E19" t="s">
        <v>45</v>
      </c>
      <c r="F19">
        <v>106757654</v>
      </c>
      <c r="G19" s="2">
        <v>45658</v>
      </c>
      <c r="H19" t="s">
        <v>29</v>
      </c>
      <c r="I19" s="2">
        <v>45658</v>
      </c>
      <c r="K19" s="2">
        <v>46143</v>
      </c>
      <c r="L19">
        <v>2</v>
      </c>
      <c r="M19" s="2">
        <v>45658</v>
      </c>
      <c r="N19" s="3">
        <v>0</v>
      </c>
      <c r="O19" s="3">
        <v>28.91</v>
      </c>
    </row>
    <row r="20" spans="1:15" x14ac:dyDescent="0.25">
      <c r="A20" t="s">
        <v>15</v>
      </c>
      <c r="B20" t="s">
        <v>16</v>
      </c>
      <c r="C20" t="s">
        <v>27</v>
      </c>
      <c r="D20" t="s">
        <v>18</v>
      </c>
      <c r="E20" t="s">
        <v>46</v>
      </c>
      <c r="F20">
        <v>106748727</v>
      </c>
      <c r="G20" s="2">
        <v>45658</v>
      </c>
      <c r="H20" t="s">
        <v>44</v>
      </c>
      <c r="I20" s="2">
        <v>45658</v>
      </c>
      <c r="K20" s="2">
        <v>46143</v>
      </c>
      <c r="L20">
        <v>2</v>
      </c>
      <c r="M20" s="2">
        <v>45658</v>
      </c>
      <c r="N20" s="3">
        <v>6.2</v>
      </c>
      <c r="O20" s="3">
        <v>28.91</v>
      </c>
    </row>
    <row r="21" spans="1:15" x14ac:dyDescent="0.25">
      <c r="A21" t="s">
        <v>15</v>
      </c>
      <c r="B21" t="s">
        <v>16</v>
      </c>
      <c r="C21" t="s">
        <v>27</v>
      </c>
      <c r="D21" t="s">
        <v>18</v>
      </c>
      <c r="E21" t="s">
        <v>47</v>
      </c>
      <c r="F21">
        <v>106782711</v>
      </c>
      <c r="G21" s="2">
        <v>45658</v>
      </c>
      <c r="H21" t="s">
        <v>48</v>
      </c>
      <c r="I21" s="2">
        <v>46023</v>
      </c>
      <c r="K21" s="2">
        <v>46143</v>
      </c>
      <c r="L21">
        <v>2</v>
      </c>
      <c r="M21" s="2">
        <v>45658</v>
      </c>
      <c r="N21" s="3">
        <v>0</v>
      </c>
      <c r="O21" s="3">
        <v>28.91</v>
      </c>
    </row>
    <row r="22" spans="1:15" x14ac:dyDescent="0.25">
      <c r="A22" t="s">
        <v>15</v>
      </c>
      <c r="B22" t="s">
        <v>16</v>
      </c>
      <c r="C22" t="s">
        <v>27</v>
      </c>
      <c r="D22" t="s">
        <v>18</v>
      </c>
      <c r="E22" t="s">
        <v>49</v>
      </c>
      <c r="F22">
        <v>106756492</v>
      </c>
      <c r="G22" s="2">
        <v>45658</v>
      </c>
      <c r="H22" t="s">
        <v>31</v>
      </c>
      <c r="I22" s="2">
        <v>45658</v>
      </c>
      <c r="K22" s="2">
        <v>46143</v>
      </c>
      <c r="L22">
        <v>2</v>
      </c>
      <c r="M22" s="2">
        <v>45658</v>
      </c>
      <c r="N22" s="3">
        <v>40</v>
      </c>
      <c r="O22" s="3">
        <v>28.91</v>
      </c>
    </row>
    <row r="23" spans="1:15" x14ac:dyDescent="0.25">
      <c r="A23" t="s">
        <v>15</v>
      </c>
      <c r="B23" t="s">
        <v>16</v>
      </c>
      <c r="C23" t="s">
        <v>27</v>
      </c>
      <c r="D23" t="s">
        <v>18</v>
      </c>
      <c r="E23" t="s">
        <v>50</v>
      </c>
      <c r="F23">
        <v>106782098</v>
      </c>
      <c r="G23" s="2">
        <v>45658</v>
      </c>
      <c r="H23" t="s">
        <v>48</v>
      </c>
      <c r="I23" s="2">
        <v>46023</v>
      </c>
      <c r="K23" s="2">
        <v>46143</v>
      </c>
      <c r="L23">
        <v>2</v>
      </c>
      <c r="M23" s="2">
        <v>45658</v>
      </c>
      <c r="N23" s="3">
        <v>0</v>
      </c>
      <c r="O23" s="3">
        <v>28.91</v>
      </c>
    </row>
    <row r="24" spans="1:15" x14ac:dyDescent="0.25">
      <c r="A24" t="s">
        <v>15</v>
      </c>
      <c r="B24" t="s">
        <v>16</v>
      </c>
      <c r="C24" t="s">
        <v>27</v>
      </c>
      <c r="D24" t="s">
        <v>18</v>
      </c>
      <c r="E24" t="s">
        <v>51</v>
      </c>
      <c r="F24">
        <v>106737246</v>
      </c>
      <c r="G24" s="2">
        <v>45658</v>
      </c>
      <c r="H24" t="s">
        <v>44</v>
      </c>
      <c r="I24" s="2">
        <v>46023</v>
      </c>
      <c r="K24" s="2">
        <v>46143</v>
      </c>
      <c r="L24">
        <v>2</v>
      </c>
      <c r="M24" s="2">
        <v>46023</v>
      </c>
      <c r="N24" s="3">
        <v>0</v>
      </c>
      <c r="O24" s="3">
        <v>28.91</v>
      </c>
    </row>
    <row r="25" spans="1:15" x14ac:dyDescent="0.25">
      <c r="A25" t="s">
        <v>15</v>
      </c>
      <c r="B25" t="s">
        <v>16</v>
      </c>
      <c r="C25" t="s">
        <v>27</v>
      </c>
      <c r="D25" t="s">
        <v>18</v>
      </c>
      <c r="E25" t="s">
        <v>52</v>
      </c>
      <c r="F25">
        <v>112537094</v>
      </c>
      <c r="G25" s="2">
        <v>45809</v>
      </c>
      <c r="H25" t="s">
        <v>20</v>
      </c>
      <c r="I25" s="2">
        <v>45809</v>
      </c>
      <c r="K25" s="2">
        <v>46143</v>
      </c>
      <c r="L25">
        <v>1</v>
      </c>
      <c r="N25" s="3">
        <v>152.25</v>
      </c>
      <c r="O25" s="3">
        <v>20</v>
      </c>
    </row>
    <row r="26" spans="1:15" x14ac:dyDescent="0.25">
      <c r="A26" t="s">
        <v>15</v>
      </c>
      <c r="B26" t="s">
        <v>16</v>
      </c>
      <c r="C26" t="s">
        <v>27</v>
      </c>
      <c r="D26" t="s">
        <v>18</v>
      </c>
      <c r="E26" t="s">
        <v>53</v>
      </c>
      <c r="F26">
        <v>106700733</v>
      </c>
      <c r="G26" s="2">
        <v>45292</v>
      </c>
      <c r="H26" t="s">
        <v>29</v>
      </c>
      <c r="I26" s="2">
        <v>45292</v>
      </c>
      <c r="K26" s="2">
        <v>46143</v>
      </c>
      <c r="L26">
        <v>3</v>
      </c>
      <c r="M26" s="2">
        <v>45292</v>
      </c>
      <c r="N26" s="3">
        <v>0</v>
      </c>
      <c r="O26" s="3">
        <v>28.91</v>
      </c>
    </row>
    <row r="28" spans="1:15" x14ac:dyDescent="0.25">
      <c r="N28" s="1" t="s">
        <v>54</v>
      </c>
      <c r="O28" s="4">
        <f>SUM(O2:O27)</f>
        <v>606.88080000000014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1B3680F5-1EA1-4DD4-B7F6-175A63B0DF82}"/>
</file>

<file path=customXml/itemProps2.xml><?xml version="1.0" encoding="utf-8"?>
<ds:datastoreItem xmlns:ds="http://schemas.openxmlformats.org/officeDocument/2006/customXml" ds:itemID="{47028196-CF0E-4DD3-879C-E701656F4849}"/>
</file>

<file path=customXml/itemProps3.xml><?xml version="1.0" encoding="utf-8"?>
<ds:datastoreItem xmlns:ds="http://schemas.openxmlformats.org/officeDocument/2006/customXml" ds:itemID="{1BEC691C-6642-4682-8EA0-58F2B51EA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2026-05-11T18:14:18Z</dcterms:created>
  <dcterms:modified xsi:type="dcterms:W3CDTF">2026-05-11T18:15:11Z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