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HR/Tidewater/Devoted Health/"/>
    </mc:Choice>
  </mc:AlternateContent>
  <xr:revisionPtr revIDLastSave="0" documentId="8_{CD2B0E22-F23A-415D-9F20-960CDB4BFB40}" xr6:coauthVersionLast="47" xr6:coauthVersionMax="47" xr10:uidLastSave="{00000000-0000-0000-0000-000000000000}"/>
  <bookViews>
    <workbookView xWindow="-108" yWindow="-108" windowWidth="23256" windowHeight="12456" xr2:uid="{0C7DF3CB-0967-452F-8BAE-C887C65D203F}"/>
  </bookViews>
  <sheets>
    <sheet name="Total" sheetId="4" r:id="rId1"/>
    <sheet name="Override" sheetId="1" r:id="rId2"/>
    <sheet name="Agent Portion" sheetId="3" r:id="rId3"/>
    <sheet name="HRA" sheetId="2" r:id="rId4"/>
  </sheets>
  <definedNames>
    <definedName name="_xlnm._FilterDatabase" localSheetId="1" hidden="1">Override!$A$1:$R$30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13" i="2"/>
  <c r="R32" i="1"/>
  <c r="R37" i="3"/>
</calcChain>
</file>

<file path=xl/sharedStrings.xml><?xml version="1.0" encoding="utf-8"?>
<sst xmlns="http://schemas.openxmlformats.org/spreadsheetml/2006/main" count="874" uniqueCount="241">
  <si>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</si>
  <si>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</si>
  <si>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</si>
  <si>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</si>
  <si>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</si>
  <si>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</si>
  <si>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</si>
  <si>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</si>
  <si>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</si>
  <si>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</si>
  <si>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</si>
  <si>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</si>
  <si>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</si>
  <si>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</si>
  <si>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</si>
  <si>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</si>
  <si>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</si>
  <si>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</si>
  <si>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</si>
  <si>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04/03/2026</t>
  </si>
  <si>
    <t>Brian Freeman</t>
  </si>
  <si>
    <t>DS97W3</t>
  </si>
  <si>
    <t>1X57MJ7FA64</t>
  </si>
  <si>
    <t>ELIZABETH</t>
  </si>
  <si>
    <t>BOLDER</t>
  </si>
  <si>
    <t>NC</t>
  </si>
  <si>
    <t>12/07/2025</t>
  </si>
  <si>
    <t>01/01/2026</t>
  </si>
  <si>
    <t>03/31/2026</t>
  </si>
  <si>
    <t>H9700</t>
  </si>
  <si>
    <t>MAPD</t>
  </si>
  <si>
    <t>Initial - Not New</t>
  </si>
  <si>
    <t>Jan</t>
  </si>
  <si>
    <t>DJ6ZW7</t>
  </si>
  <si>
    <t>1A60NT3JV31</t>
  </si>
  <si>
    <t>VIVIAN</t>
  </si>
  <si>
    <t>PERKINS</t>
  </si>
  <si>
    <t>10/19/2025</t>
  </si>
  <si>
    <t>H5299</t>
  </si>
  <si>
    <t>Michael Lauzurique</t>
  </si>
  <si>
    <t>DRAF2E</t>
  </si>
  <si>
    <t>4N00NU4TE02</t>
  </si>
  <si>
    <t>BENNIE</t>
  </si>
  <si>
    <t>POOLE</t>
  </si>
  <si>
    <t>02/26/2026</t>
  </si>
  <si>
    <t>03/01/2026</t>
  </si>
  <si>
    <t>NONE</t>
  </si>
  <si>
    <t>Initial - New</t>
  </si>
  <si>
    <t>Mar</t>
  </si>
  <si>
    <t>Christopher Foster</t>
  </si>
  <si>
    <t>DGFY27</t>
  </si>
  <si>
    <t>2U13N20CV96</t>
  </si>
  <si>
    <t>RENE</t>
  </si>
  <si>
    <t>BARGER</t>
  </si>
  <si>
    <t>03/19/2026</t>
  </si>
  <si>
    <t>04/01/2026</t>
  </si>
  <si>
    <t>Apr</t>
  </si>
  <si>
    <t>Anjana Patel</t>
  </si>
  <si>
    <t>DHY27E</t>
  </si>
  <si>
    <t>6FM3QG6NP09</t>
  </si>
  <si>
    <t>CRYSTAL</t>
  </si>
  <si>
    <t>PLATT</t>
  </si>
  <si>
    <t>03/20/2026</t>
  </si>
  <si>
    <t>DHKKF5</t>
  </si>
  <si>
    <t>2R00F44KQ11</t>
  </si>
  <si>
    <t>RHONDA</t>
  </si>
  <si>
    <t>WALKER</t>
  </si>
  <si>
    <t>03/18/2026</t>
  </si>
  <si>
    <t>04/10/2026</t>
  </si>
  <si>
    <t>D8H26K</t>
  </si>
  <si>
    <t>6C64U80TF09</t>
  </si>
  <si>
    <t>DONNA</t>
  </si>
  <si>
    <t>COOK</t>
  </si>
  <si>
    <t>11/06/2025</t>
  </si>
  <si>
    <t>04/30/2026</t>
  </si>
  <si>
    <t>Rebekah Long</t>
  </si>
  <si>
    <t>DHU23G</t>
  </si>
  <si>
    <t>3N78R93KC56</t>
  </si>
  <si>
    <t>JAMES</t>
  </si>
  <si>
    <t>DIXON</t>
  </si>
  <si>
    <t>12/04/2025</t>
  </si>
  <si>
    <t>MA</t>
  </si>
  <si>
    <t>D8JJHA</t>
  </si>
  <si>
    <t>1G12CD3FT84</t>
  </si>
  <si>
    <t>SARAH</t>
  </si>
  <si>
    <t>DA72FS</t>
  </si>
  <si>
    <t>5YK6P82VC88</t>
  </si>
  <si>
    <t>DORIS</t>
  </si>
  <si>
    <t>DEATON</t>
  </si>
  <si>
    <t>03/25/2026</t>
  </si>
  <si>
    <t>D45AKE</t>
  </si>
  <si>
    <t>2EJ3ME2PE79</t>
  </si>
  <si>
    <t>DAVID</t>
  </si>
  <si>
    <t>DIXON JR</t>
  </si>
  <si>
    <t>03/21/2026</t>
  </si>
  <si>
    <t>D7CZZC</t>
  </si>
  <si>
    <t>7P41P44PM11</t>
  </si>
  <si>
    <t>MATTHEW</t>
  </si>
  <si>
    <t>DOWNS</t>
  </si>
  <si>
    <t>03/26/2026</t>
  </si>
  <si>
    <t>D7R5GY</t>
  </si>
  <si>
    <t>5QV6UJ7TN55</t>
  </si>
  <si>
    <t>MELANY</t>
  </si>
  <si>
    <t>KNIGHT</t>
  </si>
  <si>
    <t>03/23/2026</t>
  </si>
  <si>
    <t>Timothy Winslow</t>
  </si>
  <si>
    <t>DF3JSR</t>
  </si>
  <si>
    <t>7R31V74VK29</t>
  </si>
  <si>
    <t>SANDRA</t>
  </si>
  <si>
    <t>ROBINSON</t>
  </si>
  <si>
    <t>DZH9HK</t>
  </si>
  <si>
    <t>8Y00R83YQ41</t>
  </si>
  <si>
    <t>RICKY</t>
  </si>
  <si>
    <t>ROWLAND JR</t>
  </si>
  <si>
    <t>03/24/2026</t>
  </si>
  <si>
    <t>DAE3HS</t>
  </si>
  <si>
    <t>8X88TW2RV43</t>
  </si>
  <si>
    <t>BRANDI</t>
  </si>
  <si>
    <t>TUCKER</t>
  </si>
  <si>
    <t>03/27/2026</t>
  </si>
  <si>
    <t>DZA5FE</t>
  </si>
  <si>
    <t>3X68MJ6PR50</t>
  </si>
  <si>
    <t>KEVIN</t>
  </si>
  <si>
    <t>UTSEY</t>
  </si>
  <si>
    <t>DAWEW9</t>
  </si>
  <si>
    <t>7V95ET3XX95</t>
  </si>
  <si>
    <t>SUSAN</t>
  </si>
  <si>
    <t>04/17/2026</t>
  </si>
  <si>
    <t>Justin Basinger</t>
  </si>
  <si>
    <t>DCF88C</t>
  </si>
  <si>
    <t>4J52HR8UG99</t>
  </si>
  <si>
    <t>SHERRI</t>
  </si>
  <si>
    <t>HOWARD</t>
  </si>
  <si>
    <t>02/27/2026</t>
  </si>
  <si>
    <t>D38KJU</t>
  </si>
  <si>
    <t>8KK8GM4WU42</t>
  </si>
  <si>
    <t>KAREN</t>
  </si>
  <si>
    <t>WINSLOW</t>
  </si>
  <si>
    <t>03/06/2026</t>
  </si>
  <si>
    <t>DA7FSE</t>
  </si>
  <si>
    <t>9VT5NH2NG58</t>
  </si>
  <si>
    <t>WILLIAM</t>
  </si>
  <si>
    <t>LOWERY</t>
  </si>
  <si>
    <t>03/07/2026</t>
  </si>
  <si>
    <t>06/01/2026</t>
  </si>
  <si>
    <t>DHEWJA</t>
  </si>
  <si>
    <t>4J80G63HR39</t>
  </si>
  <si>
    <t>THERESA</t>
  </si>
  <si>
    <t>MCINTYRE</t>
  </si>
  <si>
    <t>03/13/2026</t>
  </si>
  <si>
    <t>PDP</t>
  </si>
  <si>
    <t>DK78G2</t>
  </si>
  <si>
    <t>4VU3NP7XP85</t>
  </si>
  <si>
    <t>THEA</t>
  </si>
  <si>
    <t>PFEIFER</t>
  </si>
  <si>
    <t>03/11/2026</t>
  </si>
  <si>
    <t>05/01/2026</t>
  </si>
  <si>
    <t>DK85CK</t>
  </si>
  <si>
    <t>6FQ8KF2UF35</t>
  </si>
  <si>
    <t>CONNIE</t>
  </si>
  <si>
    <t>AKDAS</t>
  </si>
  <si>
    <t>D8569J</t>
  </si>
  <si>
    <t>7R02U13TK17</t>
  </si>
  <si>
    <t>DANIEL</t>
  </si>
  <si>
    <t>ALDANA ESCOBAR</t>
  </si>
  <si>
    <t>DG5Y63</t>
  </si>
  <si>
    <t>2V08CP1YX37</t>
  </si>
  <si>
    <t>WILSON</t>
  </si>
  <si>
    <t>CHERRY</t>
  </si>
  <si>
    <t>DGA59A</t>
  </si>
  <si>
    <t>6YQ6RY3EE64</t>
  </si>
  <si>
    <t>LATONIA</t>
  </si>
  <si>
    <t>FAUCETTE</t>
  </si>
  <si>
    <t>03/28/2026</t>
  </si>
  <si>
    <t>DA65SW</t>
  </si>
  <si>
    <t>2QM2E96CU02</t>
  </si>
  <si>
    <t>STUART</t>
  </si>
  <si>
    <t>PRICE</t>
  </si>
  <si>
    <t>DCCFCA</t>
  </si>
  <si>
    <t>2T86PP0NW54</t>
  </si>
  <si>
    <t>CATHY</t>
  </si>
  <si>
    <t>SILVESTRI</t>
  </si>
  <si>
    <t>04/24/2026</t>
  </si>
  <si>
    <t>DAH887</t>
  </si>
  <si>
    <t>7QY9GM5CA40</t>
  </si>
  <si>
    <t>MICHELLE</t>
  </si>
  <si>
    <t>BROADWAY</t>
  </si>
  <si>
    <t>12/01/2025</t>
  </si>
  <si>
    <t>Renewal - Monthly</t>
  </si>
  <si>
    <t>DY4EHF</t>
  </si>
  <si>
    <t>2UQ1EQ4NU16</t>
  </si>
  <si>
    <t>SHEILA</t>
  </si>
  <si>
    <t>GUNNER</t>
  </si>
  <si>
    <t>04/09/2026</t>
  </si>
  <si>
    <t>DHUZ3F</t>
  </si>
  <si>
    <t>1HW7AP7RC76</t>
  </si>
  <si>
    <t>TRACY</t>
  </si>
  <si>
    <t>HAYDEN</t>
  </si>
  <si>
    <t>SC</t>
  </si>
  <si>
    <t>08/25/2025</t>
  </si>
  <si>
    <t>09/01/2025</t>
  </si>
  <si>
    <t>H7028</t>
  </si>
  <si>
    <t>DAUU67</t>
  </si>
  <si>
    <t>6VT3RT2FM11</t>
  </si>
  <si>
    <t>BOBBY</t>
  </si>
  <si>
    <t>SMITH</t>
  </si>
  <si>
    <t>11/21/2025</t>
  </si>
  <si>
    <t>DYCS78</t>
  </si>
  <si>
    <t>8JD7NU5WA31</t>
  </si>
  <si>
    <t>ALAN</t>
  </si>
  <si>
    <t>WATTS</t>
  </si>
  <si>
    <t>11/01/2025</t>
  </si>
  <si>
    <t>DA6K79</t>
  </si>
  <si>
    <t>4V26KG4FW70</t>
  </si>
  <si>
    <t>CAROL</t>
  </si>
  <si>
    <t>ZITTLOW</t>
  </si>
  <si>
    <t>04/08/2026</t>
  </si>
  <si>
    <t>HRA for member BRANDI TUCKER DAE3HS (NC)</t>
  </si>
  <si>
    <t>21041582</t>
  </si>
  <si>
    <t>HRA for member Cathy Silvestri DCCFCA (NC)</t>
  </si>
  <si>
    <t>19832009</t>
  </si>
  <si>
    <t>HRA for member Ricky ROWLAND JR DZH9HK (NC)</t>
  </si>
  <si>
    <t>18052208</t>
  </si>
  <si>
    <t>HRA for member Sandra Robinson DF3JSR (NC)</t>
  </si>
  <si>
    <t>18708064</t>
  </si>
  <si>
    <t>HRA for member CRYSTAL PLATT DHY27E (NC)</t>
  </si>
  <si>
    <t>HRA for member Matthew Downs D7CZZC (NC)</t>
  </si>
  <si>
    <t>20392239</t>
  </si>
  <si>
    <t>HRA for member David DIXON JR D45AKE (NC)</t>
  </si>
  <si>
    <t>HRA for member Michael Coe DAE747 (NC)</t>
  </si>
  <si>
    <t>20446812</t>
  </si>
  <si>
    <t>HRA for member Daniel ALDANA ESCOBAR D8569J (NC)</t>
  </si>
  <si>
    <t>HRA for member Connie Akdas DK85CK (NC)</t>
  </si>
  <si>
    <t>Note</t>
  </si>
  <si>
    <t>Amount</t>
  </si>
  <si>
    <t>Rep ID</t>
  </si>
  <si>
    <t>Rep Name</t>
  </si>
  <si>
    <t xml:space="preserve">Total: </t>
  </si>
  <si>
    <t>Override</t>
  </si>
  <si>
    <t>Agent Portion</t>
  </si>
  <si>
    <t>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</si>
</sst>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4" fontId="1" fillId="0" borderId="0" xfId="1" applyFont="1"/>
    <xf numFmtId="8" fontId="0" fillId="0" borderId="0" xfId="0" applyNumberFormat="1"/>
    <xf numFmtId="8" fontId="1" fillId="0" borderId="0" xfId="0" applyNumberFormat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A00F-7028-44C3-9B27-C83B412ECAE2}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11.6640625" bestFit="1" customWidth="1"/>
    <col min="2" max="2" width="10.21875" style="5" bestFit="1" customWidth="1"/>
  </cols>
  <sheetData>
    <row r="1" spans="1:2" x14ac:dyDescent="0.3">
      <c r="A1" t="s">
        <v>238</v>
      </c>
      <c r="B1" s="5">
        <v>1806.67</v>
      </c>
    </row>
    <row r="2" spans="1:2" x14ac:dyDescent="0.3">
      <c r="A2" t="s">
        <v>239</v>
      </c>
      <c r="B2" s="5">
        <v>7518.32</v>
      </c>
    </row>
    <row r="3" spans="1:2" x14ac:dyDescent="0.3">
      <c r="A3" t="s">
        <v>240</v>
      </c>
      <c r="B3" s="5">
        <v>500</v>
      </c>
    </row>
    <row r="5" spans="1:2" x14ac:dyDescent="0.3">
      <c r="A5" s="1" t="s">
        <v>237</v>
      </c>
      <c r="B5" s="2">
        <f>SUM(B1:B4)</f>
        <v>9824.99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8310-BAD5-4393-BC40-8D51B1252DD5}">
  <dimension ref="A1:R32"/>
  <sheetViews>
    <sheetView topLeftCell="F25" workbookViewId="0">
      <selection activeCell="L36" sqref="L36"/>
    </sheetView>
  </sheetViews>
  <sheetFormatPr defaultRowHeight="14.4" x14ac:dyDescent="0.3"/>
  <cols>
    <col min="1" max="1" width="14.109375" bestFit="1" customWidth="1"/>
    <col min="2" max="2" width="9.77734375" bestFit="1" customWidth="1"/>
    <col min="3" max="3" width="16.5546875" bestFit="1" customWidth="1"/>
    <col min="4" max="4" width="10" bestFit="1" customWidth="1"/>
    <col min="5" max="5" width="13.77734375" bestFit="1" customWidth="1"/>
    <col min="6" max="6" width="12" bestFit="1" customWidth="1"/>
    <col min="7" max="7" width="16.109375" bestFit="1" customWidth="1"/>
    <col min="8" max="8" width="12.6640625" bestFit="1" customWidth="1"/>
    <col min="9" max="9" width="13.21875" bestFit="1" customWidth="1"/>
    <col min="10" max="10" width="12.44140625" bestFit="1" customWidth="1"/>
    <col min="11" max="11" width="12.6640625" bestFit="1" customWidth="1"/>
    <col min="12" max="12" width="8.21875" bestFit="1" customWidth="1"/>
    <col min="13" max="13" width="4.33203125" bestFit="1" customWidth="1"/>
    <col min="14" max="14" width="13.33203125" bestFit="1" customWidth="1"/>
    <col min="15" max="15" width="13.88671875" bestFit="1" customWidth="1"/>
    <col min="16" max="16" width="15.77734375" bestFit="1" customWidth="1"/>
    <col min="17" max="17" width="6.44140625" bestFit="1" customWidth="1"/>
    <col min="18" max="18" width="13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</row>
    <row r="2" spans="1:18" x14ac:dyDescent="0.3">
      <c r="A2" t="s">
        <v>19</v>
      </c>
      <c r="B2">
        <v>19832009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</v>
      </c>
      <c r="N2" t="s">
        <v>30</v>
      </c>
      <c r="O2">
        <v>14</v>
      </c>
      <c r="P2" t="s">
        <v>31</v>
      </c>
      <c r="Q2" t="s">
        <v>32</v>
      </c>
      <c r="R2">
        <v>-125</v>
      </c>
    </row>
    <row r="3" spans="1:18" x14ac:dyDescent="0.3">
      <c r="A3" t="s">
        <v>19</v>
      </c>
      <c r="B3">
        <v>19832009</v>
      </c>
      <c r="C3" t="s">
        <v>20</v>
      </c>
      <c r="D3" t="s">
        <v>33</v>
      </c>
      <c r="E3" t="s">
        <v>34</v>
      </c>
      <c r="F3" t="s">
        <v>35</v>
      </c>
      <c r="G3" t="s">
        <v>36</v>
      </c>
      <c r="H3" t="s">
        <v>25</v>
      </c>
      <c r="I3" t="s">
        <v>37</v>
      </c>
      <c r="J3" t="s">
        <v>27</v>
      </c>
      <c r="K3" t="s">
        <v>28</v>
      </c>
      <c r="L3" t="s">
        <v>38</v>
      </c>
      <c r="M3">
        <v>16</v>
      </c>
      <c r="N3" t="s">
        <v>30</v>
      </c>
      <c r="O3">
        <v>17</v>
      </c>
      <c r="P3" t="s">
        <v>31</v>
      </c>
      <c r="Q3" t="s">
        <v>32</v>
      </c>
      <c r="R3">
        <v>-125</v>
      </c>
    </row>
    <row r="4" spans="1:18" x14ac:dyDescent="0.3">
      <c r="A4" t="s">
        <v>19</v>
      </c>
      <c r="B4">
        <v>18052208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25</v>
      </c>
      <c r="I4" t="s">
        <v>44</v>
      </c>
      <c r="J4" t="s">
        <v>45</v>
      </c>
      <c r="K4" t="s">
        <v>28</v>
      </c>
      <c r="L4" t="s">
        <v>38</v>
      </c>
      <c r="M4">
        <v>12</v>
      </c>
      <c r="N4" t="s">
        <v>46</v>
      </c>
      <c r="O4">
        <v>1</v>
      </c>
      <c r="P4" t="s">
        <v>47</v>
      </c>
      <c r="Q4" t="s">
        <v>48</v>
      </c>
      <c r="R4">
        <v>-125</v>
      </c>
    </row>
    <row r="5" spans="1:18" x14ac:dyDescent="0.3">
      <c r="A5" t="s">
        <v>19</v>
      </c>
      <c r="B5">
        <v>20392239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54</v>
      </c>
      <c r="J5" t="s">
        <v>55</v>
      </c>
      <c r="L5" t="s">
        <v>29</v>
      </c>
      <c r="M5">
        <v>1</v>
      </c>
      <c r="O5">
        <v>0</v>
      </c>
      <c r="P5" t="s">
        <v>31</v>
      </c>
      <c r="Q5" t="s">
        <v>56</v>
      </c>
      <c r="R5">
        <v>125</v>
      </c>
    </row>
    <row r="6" spans="1:18" x14ac:dyDescent="0.3">
      <c r="A6" t="s">
        <v>19</v>
      </c>
      <c r="B6">
        <v>21041582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25</v>
      </c>
      <c r="I6" t="s">
        <v>62</v>
      </c>
      <c r="J6" t="s">
        <v>55</v>
      </c>
      <c r="L6" t="s">
        <v>38</v>
      </c>
      <c r="M6">
        <v>13</v>
      </c>
      <c r="O6">
        <v>0</v>
      </c>
      <c r="P6" t="s">
        <v>31</v>
      </c>
      <c r="Q6" t="s">
        <v>56</v>
      </c>
      <c r="R6">
        <v>125</v>
      </c>
    </row>
    <row r="7" spans="1:18" x14ac:dyDescent="0.3">
      <c r="A7" t="s">
        <v>19</v>
      </c>
      <c r="B7">
        <v>18052208</v>
      </c>
      <c r="C7" t="s">
        <v>39</v>
      </c>
      <c r="D7" t="s">
        <v>63</v>
      </c>
      <c r="E7" t="s">
        <v>64</v>
      </c>
      <c r="F7" t="s">
        <v>65</v>
      </c>
      <c r="G7" t="s">
        <v>66</v>
      </c>
      <c r="H7" t="s">
        <v>25</v>
      </c>
      <c r="I7" t="s">
        <v>67</v>
      </c>
      <c r="J7" t="s">
        <v>55</v>
      </c>
      <c r="L7" t="s">
        <v>29</v>
      </c>
      <c r="M7">
        <v>3</v>
      </c>
      <c r="O7">
        <v>0</v>
      </c>
      <c r="P7" t="s">
        <v>31</v>
      </c>
      <c r="Q7" t="s">
        <v>56</v>
      </c>
      <c r="R7">
        <v>125</v>
      </c>
    </row>
    <row r="8" spans="1:18" x14ac:dyDescent="0.3">
      <c r="A8" t="s">
        <v>68</v>
      </c>
      <c r="B8">
        <v>20392239</v>
      </c>
      <c r="C8" t="s">
        <v>49</v>
      </c>
      <c r="D8" t="s">
        <v>69</v>
      </c>
      <c r="E8" t="s">
        <v>70</v>
      </c>
      <c r="F8" t="s">
        <v>71</v>
      </c>
      <c r="G8" t="s">
        <v>72</v>
      </c>
      <c r="H8" t="s">
        <v>25</v>
      </c>
      <c r="I8" t="s">
        <v>73</v>
      </c>
      <c r="J8" t="s">
        <v>27</v>
      </c>
      <c r="K8" t="s">
        <v>74</v>
      </c>
      <c r="L8" t="s">
        <v>29</v>
      </c>
      <c r="M8">
        <v>1</v>
      </c>
      <c r="N8" t="s">
        <v>30</v>
      </c>
      <c r="O8">
        <v>13</v>
      </c>
      <c r="P8" t="s">
        <v>31</v>
      </c>
      <c r="Q8" t="s">
        <v>32</v>
      </c>
      <c r="R8">
        <v>-83.33</v>
      </c>
    </row>
    <row r="9" spans="1:18" x14ac:dyDescent="0.3">
      <c r="A9" t="s">
        <v>68</v>
      </c>
      <c r="B9">
        <v>20182775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25</v>
      </c>
      <c r="I9" t="s">
        <v>80</v>
      </c>
      <c r="J9" t="s">
        <v>27</v>
      </c>
      <c r="K9" t="s">
        <v>28</v>
      </c>
      <c r="L9" t="s">
        <v>29</v>
      </c>
      <c r="M9">
        <v>7</v>
      </c>
      <c r="N9" t="s">
        <v>81</v>
      </c>
      <c r="O9">
        <v>11</v>
      </c>
      <c r="P9" t="s">
        <v>31</v>
      </c>
      <c r="Q9" t="s">
        <v>32</v>
      </c>
      <c r="R9">
        <v>-125</v>
      </c>
    </row>
    <row r="10" spans="1:18" x14ac:dyDescent="0.3">
      <c r="A10" t="s">
        <v>68</v>
      </c>
      <c r="B10">
        <v>20182775</v>
      </c>
      <c r="C10" t="s">
        <v>75</v>
      </c>
      <c r="D10" t="s">
        <v>82</v>
      </c>
      <c r="E10" t="s">
        <v>83</v>
      </c>
      <c r="F10" t="s">
        <v>84</v>
      </c>
      <c r="G10" t="s">
        <v>79</v>
      </c>
      <c r="H10" t="s">
        <v>25</v>
      </c>
      <c r="I10" t="s">
        <v>80</v>
      </c>
      <c r="J10" t="s">
        <v>27</v>
      </c>
      <c r="K10" t="s">
        <v>28</v>
      </c>
      <c r="L10" t="s">
        <v>29</v>
      </c>
      <c r="M10">
        <v>7</v>
      </c>
      <c r="N10" t="s">
        <v>81</v>
      </c>
      <c r="O10">
        <v>11</v>
      </c>
      <c r="P10" t="s">
        <v>31</v>
      </c>
      <c r="Q10" t="s">
        <v>32</v>
      </c>
      <c r="R10">
        <v>-125</v>
      </c>
    </row>
    <row r="11" spans="1:18" x14ac:dyDescent="0.3">
      <c r="A11" t="s">
        <v>68</v>
      </c>
      <c r="B11">
        <v>19832009</v>
      </c>
      <c r="C11" t="s">
        <v>20</v>
      </c>
      <c r="D11" t="s">
        <v>85</v>
      </c>
      <c r="E11" t="s">
        <v>86</v>
      </c>
      <c r="F11" t="s">
        <v>87</v>
      </c>
      <c r="G11" t="s">
        <v>88</v>
      </c>
      <c r="H11" t="s">
        <v>25</v>
      </c>
      <c r="I11" t="s">
        <v>89</v>
      </c>
      <c r="J11" t="s">
        <v>55</v>
      </c>
      <c r="L11" t="s">
        <v>29</v>
      </c>
      <c r="M11">
        <v>1</v>
      </c>
      <c r="O11">
        <v>0</v>
      </c>
      <c r="P11" t="s">
        <v>31</v>
      </c>
      <c r="Q11" t="s">
        <v>56</v>
      </c>
      <c r="R11">
        <v>125</v>
      </c>
    </row>
    <row r="12" spans="1:18" x14ac:dyDescent="0.3">
      <c r="A12" t="s">
        <v>68</v>
      </c>
      <c r="B12">
        <v>19832009</v>
      </c>
      <c r="C12" t="s">
        <v>20</v>
      </c>
      <c r="D12" t="s">
        <v>90</v>
      </c>
      <c r="E12" t="s">
        <v>91</v>
      </c>
      <c r="F12" t="s">
        <v>92</v>
      </c>
      <c r="G12" t="s">
        <v>93</v>
      </c>
      <c r="H12" t="s">
        <v>25</v>
      </c>
      <c r="I12" t="s">
        <v>94</v>
      </c>
      <c r="J12" t="s">
        <v>55</v>
      </c>
      <c r="L12" t="s">
        <v>38</v>
      </c>
      <c r="M12">
        <v>15</v>
      </c>
      <c r="O12">
        <v>0</v>
      </c>
      <c r="P12" t="s">
        <v>31</v>
      </c>
      <c r="Q12" t="s">
        <v>56</v>
      </c>
      <c r="R12">
        <v>125</v>
      </c>
    </row>
    <row r="13" spans="1:18" x14ac:dyDescent="0.3">
      <c r="A13" t="s">
        <v>68</v>
      </c>
      <c r="B13">
        <v>20392239</v>
      </c>
      <c r="C13" t="s">
        <v>49</v>
      </c>
      <c r="D13" t="s">
        <v>95</v>
      </c>
      <c r="E13" t="s">
        <v>96</v>
      </c>
      <c r="F13" t="s">
        <v>97</v>
      </c>
      <c r="G13" t="s">
        <v>98</v>
      </c>
      <c r="H13" t="s">
        <v>25</v>
      </c>
      <c r="I13" t="s">
        <v>99</v>
      </c>
      <c r="J13" t="s">
        <v>55</v>
      </c>
      <c r="L13" t="s">
        <v>38</v>
      </c>
      <c r="M13">
        <v>15</v>
      </c>
      <c r="O13">
        <v>0</v>
      </c>
      <c r="P13" t="s">
        <v>31</v>
      </c>
      <c r="Q13" t="s">
        <v>56</v>
      </c>
      <c r="R13">
        <v>125</v>
      </c>
    </row>
    <row r="14" spans="1:18" x14ac:dyDescent="0.3">
      <c r="A14" t="s">
        <v>68</v>
      </c>
      <c r="B14">
        <v>18052208</v>
      </c>
      <c r="C14" t="s">
        <v>39</v>
      </c>
      <c r="D14" t="s">
        <v>100</v>
      </c>
      <c r="E14" t="s">
        <v>101</v>
      </c>
      <c r="F14" t="s">
        <v>102</v>
      </c>
      <c r="G14" t="s">
        <v>103</v>
      </c>
      <c r="H14" t="s">
        <v>25</v>
      </c>
      <c r="I14" t="s">
        <v>104</v>
      </c>
      <c r="J14" t="s">
        <v>55</v>
      </c>
      <c r="L14" t="s">
        <v>29</v>
      </c>
      <c r="M14">
        <v>2</v>
      </c>
      <c r="O14">
        <v>0</v>
      </c>
      <c r="P14" t="s">
        <v>31</v>
      </c>
      <c r="Q14" t="s">
        <v>56</v>
      </c>
      <c r="R14">
        <v>125</v>
      </c>
    </row>
    <row r="15" spans="1:18" x14ac:dyDescent="0.3">
      <c r="A15" t="s">
        <v>68</v>
      </c>
      <c r="B15">
        <v>18708064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25</v>
      </c>
      <c r="I15" t="s">
        <v>99</v>
      </c>
      <c r="J15" t="s">
        <v>55</v>
      </c>
      <c r="L15" t="s">
        <v>38</v>
      </c>
      <c r="M15">
        <v>9</v>
      </c>
      <c r="O15">
        <v>0</v>
      </c>
      <c r="P15" t="s">
        <v>31</v>
      </c>
      <c r="Q15" t="s">
        <v>56</v>
      </c>
      <c r="R15">
        <v>125</v>
      </c>
    </row>
    <row r="16" spans="1:18" x14ac:dyDescent="0.3">
      <c r="A16" t="s">
        <v>68</v>
      </c>
      <c r="B16">
        <v>18052208</v>
      </c>
      <c r="C16" t="s">
        <v>39</v>
      </c>
      <c r="D16" t="s">
        <v>110</v>
      </c>
      <c r="E16" t="s">
        <v>111</v>
      </c>
      <c r="F16" t="s">
        <v>112</v>
      </c>
      <c r="G16" t="s">
        <v>113</v>
      </c>
      <c r="H16" t="s">
        <v>25</v>
      </c>
      <c r="I16" t="s">
        <v>114</v>
      </c>
      <c r="J16" t="s">
        <v>55</v>
      </c>
      <c r="L16" t="s">
        <v>38</v>
      </c>
      <c r="M16">
        <v>16</v>
      </c>
      <c r="O16">
        <v>0</v>
      </c>
      <c r="P16" t="s">
        <v>31</v>
      </c>
      <c r="Q16" t="s">
        <v>56</v>
      </c>
      <c r="R16">
        <v>125</v>
      </c>
    </row>
    <row r="17" spans="1:18" x14ac:dyDescent="0.3">
      <c r="A17" t="s">
        <v>68</v>
      </c>
      <c r="B17">
        <v>21041582</v>
      </c>
      <c r="C17" t="s">
        <v>57</v>
      </c>
      <c r="D17" t="s">
        <v>115</v>
      </c>
      <c r="E17" t="s">
        <v>116</v>
      </c>
      <c r="F17" t="s">
        <v>117</v>
      </c>
      <c r="G17" t="s">
        <v>118</v>
      </c>
      <c r="H17" t="s">
        <v>25</v>
      </c>
      <c r="I17" t="s">
        <v>119</v>
      </c>
      <c r="J17" t="s">
        <v>55</v>
      </c>
      <c r="L17" t="s">
        <v>38</v>
      </c>
      <c r="M17">
        <v>9</v>
      </c>
      <c r="O17">
        <v>0</v>
      </c>
      <c r="P17" t="s">
        <v>31</v>
      </c>
      <c r="Q17" t="s">
        <v>56</v>
      </c>
      <c r="R17">
        <v>125</v>
      </c>
    </row>
    <row r="18" spans="1:18" x14ac:dyDescent="0.3">
      <c r="A18" t="s">
        <v>68</v>
      </c>
      <c r="B18">
        <v>18708064</v>
      </c>
      <c r="C18" t="s">
        <v>105</v>
      </c>
      <c r="D18" t="s">
        <v>120</v>
      </c>
      <c r="E18" t="s">
        <v>121</v>
      </c>
      <c r="F18" t="s">
        <v>122</v>
      </c>
      <c r="G18" t="s">
        <v>123</v>
      </c>
      <c r="H18" t="s">
        <v>25</v>
      </c>
      <c r="I18" t="s">
        <v>99</v>
      </c>
      <c r="J18" t="s">
        <v>55</v>
      </c>
      <c r="L18" t="s">
        <v>29</v>
      </c>
      <c r="M18">
        <v>7</v>
      </c>
      <c r="O18">
        <v>0</v>
      </c>
      <c r="P18" t="s">
        <v>31</v>
      </c>
      <c r="Q18" t="s">
        <v>56</v>
      </c>
      <c r="R18">
        <v>125</v>
      </c>
    </row>
    <row r="19" spans="1:18" x14ac:dyDescent="0.3">
      <c r="A19" t="s">
        <v>68</v>
      </c>
      <c r="B19">
        <v>18708064</v>
      </c>
      <c r="C19" t="s">
        <v>105</v>
      </c>
      <c r="D19" t="s">
        <v>124</v>
      </c>
      <c r="E19" t="s">
        <v>125</v>
      </c>
      <c r="F19" t="s">
        <v>126</v>
      </c>
      <c r="G19" t="s">
        <v>123</v>
      </c>
      <c r="H19" t="s">
        <v>25</v>
      </c>
      <c r="I19" t="s">
        <v>99</v>
      </c>
      <c r="J19" t="s">
        <v>55</v>
      </c>
      <c r="L19" t="s">
        <v>29</v>
      </c>
      <c r="M19">
        <v>7</v>
      </c>
      <c r="O19">
        <v>0</v>
      </c>
      <c r="P19" t="s">
        <v>31</v>
      </c>
      <c r="Q19" t="s">
        <v>56</v>
      </c>
      <c r="R19">
        <v>125</v>
      </c>
    </row>
    <row r="20" spans="1:18" x14ac:dyDescent="0.3">
      <c r="A20" t="s">
        <v>127</v>
      </c>
      <c r="B20">
        <v>20392239</v>
      </c>
      <c r="C20" t="s">
        <v>49</v>
      </c>
      <c r="D20" t="s">
        <v>157</v>
      </c>
      <c r="E20" t="s">
        <v>158</v>
      </c>
      <c r="F20" t="s">
        <v>159</v>
      </c>
      <c r="G20" t="s">
        <v>160</v>
      </c>
      <c r="H20" t="s">
        <v>25</v>
      </c>
      <c r="I20" t="s">
        <v>28</v>
      </c>
      <c r="J20" t="s">
        <v>55</v>
      </c>
      <c r="L20" t="s">
        <v>38</v>
      </c>
      <c r="M20">
        <v>15</v>
      </c>
      <c r="N20" t="s">
        <v>30</v>
      </c>
      <c r="O20">
        <v>2</v>
      </c>
      <c r="P20" t="s">
        <v>31</v>
      </c>
      <c r="Q20" t="s">
        <v>56</v>
      </c>
      <c r="R20">
        <v>125</v>
      </c>
    </row>
    <row r="21" spans="1:18" x14ac:dyDescent="0.3">
      <c r="A21" t="s">
        <v>127</v>
      </c>
      <c r="B21">
        <v>18052208</v>
      </c>
      <c r="C21" t="s">
        <v>39</v>
      </c>
      <c r="D21" t="s">
        <v>161</v>
      </c>
      <c r="E21" t="s">
        <v>162</v>
      </c>
      <c r="F21" t="s">
        <v>163</v>
      </c>
      <c r="G21" t="s">
        <v>164</v>
      </c>
      <c r="H21" t="s">
        <v>25</v>
      </c>
      <c r="I21" t="s">
        <v>28</v>
      </c>
      <c r="J21" t="s">
        <v>55</v>
      </c>
      <c r="L21" t="s">
        <v>38</v>
      </c>
      <c r="M21">
        <v>15</v>
      </c>
      <c r="O21">
        <v>0</v>
      </c>
      <c r="P21" t="s">
        <v>31</v>
      </c>
      <c r="Q21" t="s">
        <v>56</v>
      </c>
      <c r="R21">
        <v>125</v>
      </c>
    </row>
    <row r="22" spans="1:18" x14ac:dyDescent="0.3">
      <c r="A22" t="s">
        <v>127</v>
      </c>
      <c r="B22">
        <v>19832009</v>
      </c>
      <c r="C22" t="s">
        <v>20</v>
      </c>
      <c r="D22" t="s">
        <v>165</v>
      </c>
      <c r="E22" t="s">
        <v>166</v>
      </c>
      <c r="F22" t="s">
        <v>167</v>
      </c>
      <c r="G22" t="s">
        <v>168</v>
      </c>
      <c r="H22" t="s">
        <v>25</v>
      </c>
      <c r="I22" t="s">
        <v>55</v>
      </c>
      <c r="J22" t="s">
        <v>156</v>
      </c>
      <c r="L22" t="s">
        <v>29</v>
      </c>
      <c r="M22">
        <v>1</v>
      </c>
      <c r="O22">
        <v>0</v>
      </c>
      <c r="P22" t="s">
        <v>31</v>
      </c>
      <c r="Q22" t="s">
        <v>56</v>
      </c>
      <c r="R22">
        <v>125</v>
      </c>
    </row>
    <row r="23" spans="1:18" x14ac:dyDescent="0.3">
      <c r="A23" t="s">
        <v>127</v>
      </c>
      <c r="B23">
        <v>19832009</v>
      </c>
      <c r="C23" t="s">
        <v>20</v>
      </c>
      <c r="D23" t="s">
        <v>169</v>
      </c>
      <c r="E23" t="s">
        <v>170</v>
      </c>
      <c r="F23" t="s">
        <v>171</v>
      </c>
      <c r="G23" t="s">
        <v>172</v>
      </c>
      <c r="H23" t="s">
        <v>25</v>
      </c>
      <c r="I23" t="s">
        <v>173</v>
      </c>
      <c r="J23" t="s">
        <v>55</v>
      </c>
      <c r="L23" t="s">
        <v>29</v>
      </c>
      <c r="M23">
        <v>2</v>
      </c>
      <c r="N23" t="s">
        <v>46</v>
      </c>
      <c r="O23">
        <v>1</v>
      </c>
      <c r="P23" t="s">
        <v>47</v>
      </c>
      <c r="Q23" t="s">
        <v>56</v>
      </c>
      <c r="R23">
        <v>125</v>
      </c>
    </row>
    <row r="24" spans="1:18" x14ac:dyDescent="0.3">
      <c r="A24" t="s">
        <v>127</v>
      </c>
      <c r="B24">
        <v>20182775</v>
      </c>
      <c r="C24" t="s">
        <v>75</v>
      </c>
      <c r="D24" t="s">
        <v>174</v>
      </c>
      <c r="E24" t="s">
        <v>175</v>
      </c>
      <c r="F24" t="s">
        <v>176</v>
      </c>
      <c r="G24" t="s">
        <v>177</v>
      </c>
      <c r="H24" t="s">
        <v>25</v>
      </c>
      <c r="I24" t="s">
        <v>28</v>
      </c>
      <c r="J24" t="s">
        <v>55</v>
      </c>
      <c r="L24" t="s">
        <v>29</v>
      </c>
      <c r="M24">
        <v>1</v>
      </c>
      <c r="N24" t="s">
        <v>30</v>
      </c>
      <c r="O24">
        <v>4</v>
      </c>
      <c r="P24" t="s">
        <v>31</v>
      </c>
      <c r="Q24" t="s">
        <v>56</v>
      </c>
      <c r="R24">
        <v>125</v>
      </c>
    </row>
    <row r="25" spans="1:18" x14ac:dyDescent="0.3">
      <c r="A25" t="s">
        <v>127</v>
      </c>
      <c r="B25">
        <v>19832009</v>
      </c>
      <c r="C25" t="s">
        <v>20</v>
      </c>
      <c r="D25" t="s">
        <v>178</v>
      </c>
      <c r="E25" t="s">
        <v>179</v>
      </c>
      <c r="F25" t="s">
        <v>180</v>
      </c>
      <c r="G25" t="s">
        <v>181</v>
      </c>
      <c r="H25" t="s">
        <v>25</v>
      </c>
      <c r="I25" t="s">
        <v>173</v>
      </c>
      <c r="J25" t="s">
        <v>55</v>
      </c>
      <c r="L25" t="s">
        <v>38</v>
      </c>
      <c r="M25">
        <v>16</v>
      </c>
      <c r="N25" t="s">
        <v>30</v>
      </c>
      <c r="O25">
        <v>10</v>
      </c>
      <c r="P25" t="s">
        <v>31</v>
      </c>
      <c r="Q25" t="s">
        <v>56</v>
      </c>
      <c r="R25">
        <v>125</v>
      </c>
    </row>
    <row r="26" spans="1:18" x14ac:dyDescent="0.3">
      <c r="A26" t="s">
        <v>182</v>
      </c>
      <c r="B26">
        <v>20182775</v>
      </c>
      <c r="C26" t="s">
        <v>75</v>
      </c>
      <c r="D26" t="s">
        <v>183</v>
      </c>
      <c r="E26" t="s">
        <v>184</v>
      </c>
      <c r="F26" t="s">
        <v>185</v>
      </c>
      <c r="G26" t="s">
        <v>186</v>
      </c>
      <c r="H26" t="s">
        <v>25</v>
      </c>
      <c r="I26" t="s">
        <v>73</v>
      </c>
      <c r="J26" t="s">
        <v>187</v>
      </c>
      <c r="L26" t="s">
        <v>29</v>
      </c>
      <c r="M26">
        <v>2</v>
      </c>
      <c r="N26" t="s">
        <v>46</v>
      </c>
      <c r="O26">
        <v>2</v>
      </c>
      <c r="P26" t="s">
        <v>188</v>
      </c>
      <c r="Q26" t="s">
        <v>56</v>
      </c>
      <c r="R26">
        <v>5</v>
      </c>
    </row>
    <row r="27" spans="1:18" x14ac:dyDescent="0.3">
      <c r="A27" t="s">
        <v>182</v>
      </c>
      <c r="B27">
        <v>20392239</v>
      </c>
      <c r="C27" t="s">
        <v>49</v>
      </c>
      <c r="D27" t="s">
        <v>189</v>
      </c>
      <c r="E27" t="s">
        <v>190</v>
      </c>
      <c r="F27" t="s">
        <v>191</v>
      </c>
      <c r="G27" t="s">
        <v>192</v>
      </c>
      <c r="H27" t="s">
        <v>25</v>
      </c>
      <c r="I27" t="s">
        <v>193</v>
      </c>
      <c r="J27" t="s">
        <v>156</v>
      </c>
      <c r="L27" t="s">
        <v>38</v>
      </c>
      <c r="M27">
        <v>9</v>
      </c>
      <c r="O27">
        <v>0</v>
      </c>
      <c r="P27" t="s">
        <v>31</v>
      </c>
      <c r="Q27" t="s">
        <v>56</v>
      </c>
      <c r="R27">
        <v>125</v>
      </c>
    </row>
    <row r="28" spans="1:18" x14ac:dyDescent="0.3">
      <c r="A28" t="s">
        <v>182</v>
      </c>
      <c r="B28">
        <v>20182775</v>
      </c>
      <c r="C28" t="s">
        <v>75</v>
      </c>
      <c r="D28" t="s">
        <v>202</v>
      </c>
      <c r="E28" t="s">
        <v>203</v>
      </c>
      <c r="F28" t="s">
        <v>204</v>
      </c>
      <c r="G28" t="s">
        <v>205</v>
      </c>
      <c r="H28" t="s">
        <v>25</v>
      </c>
      <c r="I28" t="s">
        <v>206</v>
      </c>
      <c r="J28" t="s">
        <v>187</v>
      </c>
      <c r="L28" t="s">
        <v>29</v>
      </c>
      <c r="M28">
        <v>2</v>
      </c>
      <c r="N28" t="s">
        <v>46</v>
      </c>
      <c r="O28">
        <v>2</v>
      </c>
      <c r="P28" t="s">
        <v>188</v>
      </c>
      <c r="Q28" t="s">
        <v>56</v>
      </c>
      <c r="R28">
        <v>5</v>
      </c>
    </row>
    <row r="29" spans="1:18" x14ac:dyDescent="0.3">
      <c r="A29" t="s">
        <v>182</v>
      </c>
      <c r="B29">
        <v>19832009</v>
      </c>
      <c r="C29" t="s">
        <v>20</v>
      </c>
      <c r="D29" t="s">
        <v>207</v>
      </c>
      <c r="E29" t="s">
        <v>208</v>
      </c>
      <c r="F29" t="s">
        <v>209</v>
      </c>
      <c r="G29" t="s">
        <v>210</v>
      </c>
      <c r="H29" t="s">
        <v>25</v>
      </c>
      <c r="I29" t="s">
        <v>211</v>
      </c>
      <c r="J29" t="s">
        <v>187</v>
      </c>
      <c r="L29" t="s">
        <v>29</v>
      </c>
      <c r="M29">
        <v>2</v>
      </c>
      <c r="N29" t="s">
        <v>46</v>
      </c>
      <c r="O29">
        <v>2</v>
      </c>
      <c r="P29" t="s">
        <v>188</v>
      </c>
      <c r="Q29" t="s">
        <v>56</v>
      </c>
      <c r="R29">
        <v>5</v>
      </c>
    </row>
    <row r="30" spans="1:18" x14ac:dyDescent="0.3">
      <c r="A30" t="s">
        <v>182</v>
      </c>
      <c r="B30">
        <v>18052208</v>
      </c>
      <c r="C30" t="s">
        <v>39</v>
      </c>
      <c r="D30" t="s">
        <v>212</v>
      </c>
      <c r="E30" t="s">
        <v>213</v>
      </c>
      <c r="F30" t="s">
        <v>214</v>
      </c>
      <c r="G30" t="s">
        <v>215</v>
      </c>
      <c r="H30" t="s">
        <v>25</v>
      </c>
      <c r="I30" t="s">
        <v>216</v>
      </c>
      <c r="J30" t="s">
        <v>156</v>
      </c>
      <c r="L30" t="s">
        <v>29</v>
      </c>
      <c r="M30">
        <v>1</v>
      </c>
      <c r="O30">
        <v>0</v>
      </c>
      <c r="P30" t="s">
        <v>31</v>
      </c>
      <c r="Q30" t="s">
        <v>56</v>
      </c>
      <c r="R30">
        <v>125</v>
      </c>
    </row>
    <row r="32" spans="1:18" x14ac:dyDescent="0.3">
      <c r="Q32" s="1" t="s">
        <v>237</v>
      </c>
      <c r="R32" s="2">
        <f>SUM(R2:R31)</f>
        <v>1806.67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91A9-51F3-4722-A985-CC6A8C51E081}">
  <dimension ref="A1:R37"/>
  <sheetViews>
    <sheetView topLeftCell="C19" workbookViewId="0">
      <selection activeCell="R37" sqref="R37"/>
    </sheetView>
  </sheetViews>
  <sheetFormatPr defaultRowHeight="14.4" x14ac:dyDescent="0.3"/>
  <cols>
    <col min="1" max="1" width="14.109375" bestFit="1" customWidth="1"/>
    <col min="2" max="2" width="9.77734375" bestFit="1" customWidth="1"/>
    <col min="3" max="3" width="16.5546875" bestFit="1" customWidth="1"/>
    <col min="4" max="4" width="10" bestFit="1" customWidth="1"/>
    <col min="5" max="5" width="13.77734375" bestFit="1" customWidth="1"/>
    <col min="6" max="6" width="12" bestFit="1" customWidth="1"/>
    <col min="7" max="7" width="16.109375" bestFit="1" customWidth="1"/>
    <col min="8" max="8" width="12.6640625" bestFit="1" customWidth="1"/>
    <col min="9" max="9" width="13.21875" bestFit="1" customWidth="1"/>
    <col min="10" max="10" width="12.44140625" bestFit="1" customWidth="1"/>
    <col min="11" max="11" width="12.6640625" bestFit="1" customWidth="1"/>
    <col min="12" max="12" width="8.21875" bestFit="1" customWidth="1"/>
    <col min="13" max="13" width="4.33203125" bestFit="1" customWidth="1"/>
    <col min="14" max="14" width="13.33203125" bestFit="1" customWidth="1"/>
    <col min="15" max="15" width="13.88671875" bestFit="1" customWidth="1"/>
    <col min="16" max="16" width="15.77734375" bestFit="1" customWidth="1"/>
    <col min="17" max="17" width="6.44140625" bestFit="1" customWidth="1"/>
    <col min="18" max="18" width="11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</v>
      </c>
      <c r="B2">
        <v>19832009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2</v>
      </c>
      <c r="N2" t="s">
        <v>30</v>
      </c>
      <c r="O2">
        <v>14</v>
      </c>
      <c r="P2" t="s">
        <v>31</v>
      </c>
      <c r="Q2" t="s">
        <v>32</v>
      </c>
      <c r="R2">
        <v>-347</v>
      </c>
    </row>
    <row r="3" spans="1:18" x14ac:dyDescent="0.3">
      <c r="A3" t="s">
        <v>19</v>
      </c>
      <c r="B3">
        <v>19832009</v>
      </c>
      <c r="C3" t="s">
        <v>20</v>
      </c>
      <c r="D3" t="s">
        <v>33</v>
      </c>
      <c r="E3" t="s">
        <v>34</v>
      </c>
      <c r="F3" t="s">
        <v>35</v>
      </c>
      <c r="G3" t="s">
        <v>36</v>
      </c>
      <c r="H3" t="s">
        <v>25</v>
      </c>
      <c r="I3" t="s">
        <v>37</v>
      </c>
      <c r="J3" t="s">
        <v>27</v>
      </c>
      <c r="K3" t="s">
        <v>28</v>
      </c>
      <c r="L3" t="s">
        <v>38</v>
      </c>
      <c r="M3">
        <v>16</v>
      </c>
      <c r="N3" t="s">
        <v>30</v>
      </c>
      <c r="O3">
        <v>17</v>
      </c>
      <c r="P3" t="s">
        <v>31</v>
      </c>
      <c r="Q3" t="s">
        <v>32</v>
      </c>
      <c r="R3">
        <v>-347</v>
      </c>
    </row>
    <row r="4" spans="1:18" x14ac:dyDescent="0.3">
      <c r="A4" t="s">
        <v>19</v>
      </c>
      <c r="B4">
        <v>18052208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25</v>
      </c>
      <c r="I4" t="s">
        <v>44</v>
      </c>
      <c r="J4" t="s">
        <v>45</v>
      </c>
      <c r="K4" t="s">
        <v>28</v>
      </c>
      <c r="L4" t="s">
        <v>38</v>
      </c>
      <c r="M4">
        <v>12</v>
      </c>
      <c r="N4" t="s">
        <v>46</v>
      </c>
      <c r="O4">
        <v>1</v>
      </c>
      <c r="P4" t="s">
        <v>47</v>
      </c>
      <c r="Q4" t="s">
        <v>48</v>
      </c>
      <c r="R4">
        <v>-694</v>
      </c>
    </row>
    <row r="5" spans="1:18" x14ac:dyDescent="0.3">
      <c r="A5" t="s">
        <v>19</v>
      </c>
      <c r="B5">
        <v>20392239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54</v>
      </c>
      <c r="J5" t="s">
        <v>55</v>
      </c>
      <c r="L5" t="s">
        <v>29</v>
      </c>
      <c r="M5">
        <v>1</v>
      </c>
      <c r="O5">
        <v>0</v>
      </c>
      <c r="P5" t="s">
        <v>31</v>
      </c>
      <c r="Q5" t="s">
        <v>56</v>
      </c>
      <c r="R5">
        <v>260.25</v>
      </c>
    </row>
    <row r="6" spans="1:18" x14ac:dyDescent="0.3">
      <c r="A6" t="s">
        <v>19</v>
      </c>
      <c r="B6">
        <v>21041582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25</v>
      </c>
      <c r="I6" t="s">
        <v>62</v>
      </c>
      <c r="J6" t="s">
        <v>55</v>
      </c>
      <c r="L6" t="s">
        <v>38</v>
      </c>
      <c r="M6">
        <v>13</v>
      </c>
      <c r="O6">
        <v>0</v>
      </c>
      <c r="P6" t="s">
        <v>31</v>
      </c>
      <c r="Q6" t="s">
        <v>56</v>
      </c>
      <c r="R6">
        <v>260.25</v>
      </c>
    </row>
    <row r="7" spans="1:18" x14ac:dyDescent="0.3">
      <c r="A7" t="s">
        <v>19</v>
      </c>
      <c r="B7">
        <v>18052208</v>
      </c>
      <c r="C7" t="s">
        <v>39</v>
      </c>
      <c r="D7" t="s">
        <v>63</v>
      </c>
      <c r="E7" t="s">
        <v>64</v>
      </c>
      <c r="F7" t="s">
        <v>65</v>
      </c>
      <c r="G7" t="s">
        <v>66</v>
      </c>
      <c r="H7" t="s">
        <v>25</v>
      </c>
      <c r="I7" t="s">
        <v>67</v>
      </c>
      <c r="J7" t="s">
        <v>55</v>
      </c>
      <c r="L7" t="s">
        <v>29</v>
      </c>
      <c r="M7">
        <v>3</v>
      </c>
      <c r="O7">
        <v>0</v>
      </c>
      <c r="P7" t="s">
        <v>31</v>
      </c>
      <c r="Q7" t="s">
        <v>56</v>
      </c>
      <c r="R7">
        <v>260.25</v>
      </c>
    </row>
    <row r="8" spans="1:18" x14ac:dyDescent="0.3">
      <c r="A8" t="s">
        <v>68</v>
      </c>
      <c r="B8">
        <v>20392239</v>
      </c>
      <c r="C8" t="s">
        <v>49</v>
      </c>
      <c r="D8" t="s">
        <v>69</v>
      </c>
      <c r="E8" t="s">
        <v>70</v>
      </c>
      <c r="F8" t="s">
        <v>71</v>
      </c>
      <c r="G8" t="s">
        <v>72</v>
      </c>
      <c r="H8" t="s">
        <v>25</v>
      </c>
      <c r="I8" t="s">
        <v>73</v>
      </c>
      <c r="J8" t="s">
        <v>27</v>
      </c>
      <c r="K8" t="s">
        <v>74</v>
      </c>
      <c r="L8" t="s">
        <v>29</v>
      </c>
      <c r="M8">
        <v>1</v>
      </c>
      <c r="N8" t="s">
        <v>30</v>
      </c>
      <c r="O8">
        <v>13</v>
      </c>
      <c r="P8" t="s">
        <v>31</v>
      </c>
      <c r="Q8" t="s">
        <v>32</v>
      </c>
      <c r="R8">
        <v>-231.34</v>
      </c>
    </row>
    <row r="9" spans="1:18" x14ac:dyDescent="0.3">
      <c r="A9" t="s">
        <v>68</v>
      </c>
      <c r="B9">
        <v>19832009</v>
      </c>
      <c r="C9" t="s">
        <v>20</v>
      </c>
      <c r="D9" t="s">
        <v>85</v>
      </c>
      <c r="E9" t="s">
        <v>86</v>
      </c>
      <c r="F9" t="s">
        <v>87</v>
      </c>
      <c r="G9" t="s">
        <v>88</v>
      </c>
      <c r="H9" t="s">
        <v>25</v>
      </c>
      <c r="I9" t="s">
        <v>89</v>
      </c>
      <c r="J9" t="s">
        <v>55</v>
      </c>
      <c r="L9" t="s">
        <v>29</v>
      </c>
      <c r="M9">
        <v>1</v>
      </c>
      <c r="O9">
        <v>0</v>
      </c>
      <c r="P9" t="s">
        <v>31</v>
      </c>
      <c r="Q9" t="s">
        <v>56</v>
      </c>
      <c r="R9">
        <v>260.25</v>
      </c>
    </row>
    <row r="10" spans="1:18" x14ac:dyDescent="0.3">
      <c r="A10" t="s">
        <v>68</v>
      </c>
      <c r="B10">
        <v>19832009</v>
      </c>
      <c r="C10" t="s">
        <v>20</v>
      </c>
      <c r="D10" t="s">
        <v>90</v>
      </c>
      <c r="E10" t="s">
        <v>91</v>
      </c>
      <c r="F10" t="s">
        <v>92</v>
      </c>
      <c r="G10" t="s">
        <v>93</v>
      </c>
      <c r="H10" t="s">
        <v>25</v>
      </c>
      <c r="I10" t="s">
        <v>94</v>
      </c>
      <c r="J10" t="s">
        <v>55</v>
      </c>
      <c r="L10" t="s">
        <v>38</v>
      </c>
      <c r="M10">
        <v>15</v>
      </c>
      <c r="O10">
        <v>0</v>
      </c>
      <c r="P10" t="s">
        <v>31</v>
      </c>
      <c r="Q10" t="s">
        <v>56</v>
      </c>
      <c r="R10">
        <v>260.25</v>
      </c>
    </row>
    <row r="11" spans="1:18" x14ac:dyDescent="0.3">
      <c r="A11" t="s">
        <v>68</v>
      </c>
      <c r="B11">
        <v>20392239</v>
      </c>
      <c r="C11" t="s">
        <v>49</v>
      </c>
      <c r="D11" t="s">
        <v>95</v>
      </c>
      <c r="E11" t="s">
        <v>96</v>
      </c>
      <c r="F11" t="s">
        <v>97</v>
      </c>
      <c r="G11" t="s">
        <v>98</v>
      </c>
      <c r="H11" t="s">
        <v>25</v>
      </c>
      <c r="I11" t="s">
        <v>99</v>
      </c>
      <c r="J11" t="s">
        <v>55</v>
      </c>
      <c r="L11" t="s">
        <v>38</v>
      </c>
      <c r="M11">
        <v>15</v>
      </c>
      <c r="O11">
        <v>0</v>
      </c>
      <c r="P11" t="s">
        <v>31</v>
      </c>
      <c r="Q11" t="s">
        <v>56</v>
      </c>
      <c r="R11">
        <v>260.25</v>
      </c>
    </row>
    <row r="12" spans="1:18" x14ac:dyDescent="0.3">
      <c r="A12" t="s">
        <v>68</v>
      </c>
      <c r="B12">
        <v>18052208</v>
      </c>
      <c r="C12" t="s">
        <v>39</v>
      </c>
      <c r="D12" t="s">
        <v>100</v>
      </c>
      <c r="E12" t="s">
        <v>101</v>
      </c>
      <c r="F12" t="s">
        <v>102</v>
      </c>
      <c r="G12" t="s">
        <v>103</v>
      </c>
      <c r="H12" t="s">
        <v>25</v>
      </c>
      <c r="I12" t="s">
        <v>104</v>
      </c>
      <c r="J12" t="s">
        <v>55</v>
      </c>
      <c r="L12" t="s">
        <v>29</v>
      </c>
      <c r="M12">
        <v>2</v>
      </c>
      <c r="O12">
        <v>0</v>
      </c>
      <c r="P12" t="s">
        <v>31</v>
      </c>
      <c r="Q12" t="s">
        <v>56</v>
      </c>
      <c r="R12">
        <v>260.25</v>
      </c>
    </row>
    <row r="13" spans="1:18" x14ac:dyDescent="0.3">
      <c r="A13" t="s">
        <v>68</v>
      </c>
      <c r="B13">
        <v>18708064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25</v>
      </c>
      <c r="I13" t="s">
        <v>99</v>
      </c>
      <c r="J13" t="s">
        <v>55</v>
      </c>
      <c r="L13" t="s">
        <v>38</v>
      </c>
      <c r="M13">
        <v>9</v>
      </c>
      <c r="O13">
        <v>0</v>
      </c>
      <c r="P13" t="s">
        <v>31</v>
      </c>
      <c r="Q13" t="s">
        <v>56</v>
      </c>
      <c r="R13">
        <v>260.25</v>
      </c>
    </row>
    <row r="14" spans="1:18" x14ac:dyDescent="0.3">
      <c r="A14" t="s">
        <v>68</v>
      </c>
      <c r="B14">
        <v>18052208</v>
      </c>
      <c r="C14" t="s">
        <v>39</v>
      </c>
      <c r="D14" t="s">
        <v>110</v>
      </c>
      <c r="E14" t="s">
        <v>111</v>
      </c>
      <c r="F14" t="s">
        <v>112</v>
      </c>
      <c r="G14" t="s">
        <v>113</v>
      </c>
      <c r="H14" t="s">
        <v>25</v>
      </c>
      <c r="I14" t="s">
        <v>114</v>
      </c>
      <c r="J14" t="s">
        <v>55</v>
      </c>
      <c r="L14" t="s">
        <v>38</v>
      </c>
      <c r="M14">
        <v>16</v>
      </c>
      <c r="O14">
        <v>0</v>
      </c>
      <c r="P14" t="s">
        <v>31</v>
      </c>
      <c r="Q14" t="s">
        <v>56</v>
      </c>
      <c r="R14">
        <v>260.25</v>
      </c>
    </row>
    <row r="15" spans="1:18" x14ac:dyDescent="0.3">
      <c r="A15" t="s">
        <v>68</v>
      </c>
      <c r="B15">
        <v>21041582</v>
      </c>
      <c r="C15" t="s">
        <v>57</v>
      </c>
      <c r="D15" t="s">
        <v>115</v>
      </c>
      <c r="E15" t="s">
        <v>116</v>
      </c>
      <c r="F15" t="s">
        <v>117</v>
      </c>
      <c r="G15" t="s">
        <v>118</v>
      </c>
      <c r="H15" t="s">
        <v>25</v>
      </c>
      <c r="I15" t="s">
        <v>119</v>
      </c>
      <c r="J15" t="s">
        <v>55</v>
      </c>
      <c r="L15" t="s">
        <v>38</v>
      </c>
      <c r="M15">
        <v>9</v>
      </c>
      <c r="O15">
        <v>0</v>
      </c>
      <c r="P15" t="s">
        <v>31</v>
      </c>
      <c r="Q15" t="s">
        <v>56</v>
      </c>
      <c r="R15">
        <v>260.25</v>
      </c>
    </row>
    <row r="16" spans="1:18" x14ac:dyDescent="0.3">
      <c r="A16" t="s">
        <v>68</v>
      </c>
      <c r="B16">
        <v>18708064</v>
      </c>
      <c r="C16" t="s">
        <v>105</v>
      </c>
      <c r="D16" t="s">
        <v>120</v>
      </c>
      <c r="E16" t="s">
        <v>121</v>
      </c>
      <c r="F16" t="s">
        <v>122</v>
      </c>
      <c r="G16" t="s">
        <v>123</v>
      </c>
      <c r="H16" t="s">
        <v>25</v>
      </c>
      <c r="I16" t="s">
        <v>99</v>
      </c>
      <c r="J16" t="s">
        <v>55</v>
      </c>
      <c r="L16" t="s">
        <v>29</v>
      </c>
      <c r="M16">
        <v>7</v>
      </c>
      <c r="O16">
        <v>0</v>
      </c>
      <c r="P16" t="s">
        <v>31</v>
      </c>
      <c r="Q16" t="s">
        <v>56</v>
      </c>
      <c r="R16">
        <v>260.25</v>
      </c>
    </row>
    <row r="17" spans="1:18" x14ac:dyDescent="0.3">
      <c r="A17" t="s">
        <v>68</v>
      </c>
      <c r="B17">
        <v>18708064</v>
      </c>
      <c r="C17" t="s">
        <v>105</v>
      </c>
      <c r="D17" t="s">
        <v>124</v>
      </c>
      <c r="E17" t="s">
        <v>125</v>
      </c>
      <c r="F17" t="s">
        <v>126</v>
      </c>
      <c r="G17" t="s">
        <v>123</v>
      </c>
      <c r="H17" t="s">
        <v>25</v>
      </c>
      <c r="I17" t="s">
        <v>99</v>
      </c>
      <c r="J17" t="s">
        <v>55</v>
      </c>
      <c r="L17" t="s">
        <v>29</v>
      </c>
      <c r="M17">
        <v>7</v>
      </c>
      <c r="O17">
        <v>0</v>
      </c>
      <c r="P17" t="s">
        <v>31</v>
      </c>
      <c r="Q17" t="s">
        <v>56</v>
      </c>
      <c r="R17">
        <v>260.25</v>
      </c>
    </row>
    <row r="18" spans="1:18" x14ac:dyDescent="0.3">
      <c r="A18" t="s">
        <v>127</v>
      </c>
      <c r="B18">
        <v>20446812</v>
      </c>
      <c r="C18" t="s">
        <v>128</v>
      </c>
      <c r="D18" t="s">
        <v>129</v>
      </c>
      <c r="E18" t="s">
        <v>130</v>
      </c>
      <c r="F18" t="s">
        <v>131</v>
      </c>
      <c r="G18" t="s">
        <v>132</v>
      </c>
      <c r="H18" t="s">
        <v>25</v>
      </c>
      <c r="I18" t="s">
        <v>133</v>
      </c>
      <c r="J18" t="s">
        <v>45</v>
      </c>
      <c r="L18" t="s">
        <v>38</v>
      </c>
      <c r="M18">
        <v>16</v>
      </c>
      <c r="N18" t="s">
        <v>46</v>
      </c>
      <c r="O18">
        <v>1</v>
      </c>
      <c r="P18" t="s">
        <v>47</v>
      </c>
      <c r="Q18" t="s">
        <v>48</v>
      </c>
      <c r="R18">
        <v>404.84</v>
      </c>
    </row>
    <row r="19" spans="1:18" x14ac:dyDescent="0.3">
      <c r="A19" t="s">
        <v>127</v>
      </c>
      <c r="B19">
        <v>18708064</v>
      </c>
      <c r="C19" t="s">
        <v>105</v>
      </c>
      <c r="D19" t="s">
        <v>134</v>
      </c>
      <c r="E19" t="s">
        <v>135</v>
      </c>
      <c r="F19" t="s">
        <v>136</v>
      </c>
      <c r="G19" t="s">
        <v>137</v>
      </c>
      <c r="H19" t="s">
        <v>25</v>
      </c>
      <c r="I19" t="s">
        <v>138</v>
      </c>
      <c r="J19" t="s">
        <v>55</v>
      </c>
      <c r="L19" t="s">
        <v>29</v>
      </c>
      <c r="M19">
        <v>7</v>
      </c>
      <c r="N19" t="s">
        <v>46</v>
      </c>
      <c r="O19">
        <v>1</v>
      </c>
      <c r="P19" t="s">
        <v>47</v>
      </c>
      <c r="Q19" t="s">
        <v>48</v>
      </c>
      <c r="R19">
        <v>433.75</v>
      </c>
    </row>
    <row r="20" spans="1:18" x14ac:dyDescent="0.3">
      <c r="A20" t="s">
        <v>127</v>
      </c>
      <c r="B20">
        <v>19832009</v>
      </c>
      <c r="C20" t="s">
        <v>20</v>
      </c>
      <c r="D20" t="s">
        <v>139</v>
      </c>
      <c r="E20" t="s">
        <v>140</v>
      </c>
      <c r="F20" t="s">
        <v>141</v>
      </c>
      <c r="G20" t="s">
        <v>142</v>
      </c>
      <c r="H20" t="s">
        <v>25</v>
      </c>
      <c r="I20" t="s">
        <v>143</v>
      </c>
      <c r="J20" t="s">
        <v>144</v>
      </c>
      <c r="L20" t="s">
        <v>29</v>
      </c>
      <c r="M20">
        <v>7</v>
      </c>
      <c r="N20" t="s">
        <v>46</v>
      </c>
      <c r="O20">
        <v>-1</v>
      </c>
      <c r="P20" t="s">
        <v>47</v>
      </c>
      <c r="Q20" t="s">
        <v>48</v>
      </c>
      <c r="R20">
        <v>491.59</v>
      </c>
    </row>
    <row r="21" spans="1:18" x14ac:dyDescent="0.3">
      <c r="A21" t="s">
        <v>127</v>
      </c>
      <c r="B21">
        <v>20392239</v>
      </c>
      <c r="C21" t="s">
        <v>49</v>
      </c>
      <c r="D21" t="s">
        <v>145</v>
      </c>
      <c r="E21" t="s">
        <v>146</v>
      </c>
      <c r="F21" t="s">
        <v>147</v>
      </c>
      <c r="G21" t="s">
        <v>148</v>
      </c>
      <c r="H21" t="s">
        <v>25</v>
      </c>
      <c r="I21" t="s">
        <v>149</v>
      </c>
      <c r="J21" t="s">
        <v>55</v>
      </c>
      <c r="L21" t="s">
        <v>38</v>
      </c>
      <c r="M21">
        <v>12</v>
      </c>
      <c r="N21" t="s">
        <v>150</v>
      </c>
      <c r="O21">
        <v>1</v>
      </c>
      <c r="P21" t="s">
        <v>47</v>
      </c>
      <c r="Q21" t="s">
        <v>48</v>
      </c>
      <c r="R21">
        <v>433.75</v>
      </c>
    </row>
    <row r="22" spans="1:18" x14ac:dyDescent="0.3">
      <c r="A22" t="s">
        <v>127</v>
      </c>
      <c r="B22">
        <v>19832009</v>
      </c>
      <c r="C22" t="s">
        <v>20</v>
      </c>
      <c r="D22" t="s">
        <v>151</v>
      </c>
      <c r="E22" t="s">
        <v>152</v>
      </c>
      <c r="F22" t="s">
        <v>153</v>
      </c>
      <c r="G22" t="s">
        <v>154</v>
      </c>
      <c r="H22" t="s">
        <v>25</v>
      </c>
      <c r="I22" t="s">
        <v>155</v>
      </c>
      <c r="J22" t="s">
        <v>156</v>
      </c>
      <c r="L22" t="s">
        <v>29</v>
      </c>
      <c r="M22">
        <v>1</v>
      </c>
      <c r="N22" t="s">
        <v>46</v>
      </c>
      <c r="O22">
        <v>-1</v>
      </c>
      <c r="P22" t="s">
        <v>47</v>
      </c>
      <c r="Q22" t="s">
        <v>48</v>
      </c>
      <c r="R22">
        <v>462.67</v>
      </c>
    </row>
    <row r="23" spans="1:18" x14ac:dyDescent="0.3">
      <c r="A23" t="s">
        <v>127</v>
      </c>
      <c r="B23">
        <v>21041582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  <c r="H23" t="s">
        <v>25</v>
      </c>
      <c r="I23" t="s">
        <v>62</v>
      </c>
      <c r="J23" t="s">
        <v>55</v>
      </c>
      <c r="L23" t="s">
        <v>38</v>
      </c>
      <c r="M23">
        <v>13</v>
      </c>
      <c r="N23" t="s">
        <v>46</v>
      </c>
      <c r="O23">
        <v>1</v>
      </c>
      <c r="P23" t="s">
        <v>47</v>
      </c>
      <c r="Q23" t="s">
        <v>56</v>
      </c>
      <c r="R23">
        <v>433.75</v>
      </c>
    </row>
    <row r="24" spans="1:18" x14ac:dyDescent="0.3">
      <c r="A24" t="s">
        <v>127</v>
      </c>
      <c r="B24">
        <v>18052208</v>
      </c>
      <c r="C24" t="s">
        <v>39</v>
      </c>
      <c r="D24" t="s">
        <v>63</v>
      </c>
      <c r="E24" t="s">
        <v>64</v>
      </c>
      <c r="F24" t="s">
        <v>65</v>
      </c>
      <c r="G24" t="s">
        <v>66</v>
      </c>
      <c r="H24" t="s">
        <v>25</v>
      </c>
      <c r="I24" t="s">
        <v>67</v>
      </c>
      <c r="J24" t="s">
        <v>55</v>
      </c>
      <c r="L24" t="s">
        <v>29</v>
      </c>
      <c r="M24">
        <v>3</v>
      </c>
      <c r="N24" t="s">
        <v>30</v>
      </c>
      <c r="O24">
        <v>1</v>
      </c>
      <c r="P24" t="s">
        <v>47</v>
      </c>
      <c r="Q24" t="s">
        <v>56</v>
      </c>
      <c r="R24">
        <v>260.25</v>
      </c>
    </row>
    <row r="25" spans="1:18" x14ac:dyDescent="0.3">
      <c r="A25" t="s">
        <v>127</v>
      </c>
      <c r="B25">
        <v>19832009</v>
      </c>
      <c r="C25" t="s">
        <v>20</v>
      </c>
      <c r="D25" t="s">
        <v>90</v>
      </c>
      <c r="E25" t="s">
        <v>91</v>
      </c>
      <c r="F25" t="s">
        <v>92</v>
      </c>
      <c r="G25" t="s">
        <v>93</v>
      </c>
      <c r="H25" t="s">
        <v>25</v>
      </c>
      <c r="I25" t="s">
        <v>94</v>
      </c>
      <c r="J25" t="s">
        <v>55</v>
      </c>
      <c r="L25" t="s">
        <v>38</v>
      </c>
      <c r="M25">
        <v>15</v>
      </c>
      <c r="N25" t="s">
        <v>150</v>
      </c>
      <c r="O25">
        <v>1</v>
      </c>
      <c r="P25" t="s">
        <v>47</v>
      </c>
      <c r="Q25" t="s">
        <v>56</v>
      </c>
      <c r="R25">
        <v>433.75</v>
      </c>
    </row>
    <row r="26" spans="1:18" x14ac:dyDescent="0.3">
      <c r="A26" t="s">
        <v>127</v>
      </c>
      <c r="B26">
        <v>18052208</v>
      </c>
      <c r="C26" t="s">
        <v>39</v>
      </c>
      <c r="D26" t="s">
        <v>100</v>
      </c>
      <c r="E26" t="s">
        <v>101</v>
      </c>
      <c r="F26" t="s">
        <v>102</v>
      </c>
      <c r="G26" t="s">
        <v>103</v>
      </c>
      <c r="H26" t="s">
        <v>25</v>
      </c>
      <c r="I26" t="s">
        <v>104</v>
      </c>
      <c r="J26" t="s">
        <v>55</v>
      </c>
      <c r="L26" t="s">
        <v>29</v>
      </c>
      <c r="M26">
        <v>2</v>
      </c>
      <c r="N26" t="s">
        <v>46</v>
      </c>
      <c r="O26">
        <v>1</v>
      </c>
      <c r="P26" t="s">
        <v>47</v>
      </c>
      <c r="Q26" t="s">
        <v>56</v>
      </c>
      <c r="R26">
        <v>433.75</v>
      </c>
    </row>
    <row r="27" spans="1:18" x14ac:dyDescent="0.3">
      <c r="A27" t="s">
        <v>127</v>
      </c>
      <c r="B27">
        <v>20392239</v>
      </c>
      <c r="C27" t="s">
        <v>49</v>
      </c>
      <c r="D27" t="s">
        <v>157</v>
      </c>
      <c r="E27" t="s">
        <v>158</v>
      </c>
      <c r="F27" t="s">
        <v>159</v>
      </c>
      <c r="G27" t="s">
        <v>160</v>
      </c>
      <c r="H27" t="s">
        <v>25</v>
      </c>
      <c r="I27" t="s">
        <v>28</v>
      </c>
      <c r="J27" t="s">
        <v>55</v>
      </c>
      <c r="L27" t="s">
        <v>38</v>
      </c>
      <c r="M27">
        <v>15</v>
      </c>
      <c r="N27" t="s">
        <v>30</v>
      </c>
      <c r="O27">
        <v>2</v>
      </c>
      <c r="P27" t="s">
        <v>31</v>
      </c>
      <c r="Q27" t="s">
        <v>56</v>
      </c>
      <c r="R27">
        <v>260.25</v>
      </c>
    </row>
    <row r="28" spans="1:18" x14ac:dyDescent="0.3">
      <c r="A28" t="s">
        <v>127</v>
      </c>
      <c r="B28">
        <v>18052208</v>
      </c>
      <c r="C28" t="s">
        <v>39</v>
      </c>
      <c r="D28" t="s">
        <v>161</v>
      </c>
      <c r="E28" t="s">
        <v>162</v>
      </c>
      <c r="F28" t="s">
        <v>163</v>
      </c>
      <c r="G28" t="s">
        <v>164</v>
      </c>
      <c r="H28" t="s">
        <v>25</v>
      </c>
      <c r="I28" t="s">
        <v>28</v>
      </c>
      <c r="J28" t="s">
        <v>55</v>
      </c>
      <c r="L28" t="s">
        <v>38</v>
      </c>
      <c r="M28">
        <v>15</v>
      </c>
      <c r="O28">
        <v>0</v>
      </c>
      <c r="P28" t="s">
        <v>31</v>
      </c>
      <c r="Q28" t="s">
        <v>56</v>
      </c>
      <c r="R28">
        <v>260.25</v>
      </c>
    </row>
    <row r="29" spans="1:18" x14ac:dyDescent="0.3">
      <c r="A29" t="s">
        <v>127</v>
      </c>
      <c r="B29">
        <v>19832009</v>
      </c>
      <c r="C29" t="s">
        <v>20</v>
      </c>
      <c r="D29" t="s">
        <v>165</v>
      </c>
      <c r="E29" t="s">
        <v>166</v>
      </c>
      <c r="F29" t="s">
        <v>167</v>
      </c>
      <c r="G29" t="s">
        <v>168</v>
      </c>
      <c r="H29" t="s">
        <v>25</v>
      </c>
      <c r="I29" t="s">
        <v>55</v>
      </c>
      <c r="J29" t="s">
        <v>156</v>
      </c>
      <c r="L29" t="s">
        <v>29</v>
      </c>
      <c r="M29">
        <v>1</v>
      </c>
      <c r="O29">
        <v>0</v>
      </c>
      <c r="P29" t="s">
        <v>31</v>
      </c>
      <c r="Q29" t="s">
        <v>56</v>
      </c>
      <c r="R29">
        <v>231.33</v>
      </c>
    </row>
    <row r="30" spans="1:18" x14ac:dyDescent="0.3">
      <c r="A30" t="s">
        <v>127</v>
      </c>
      <c r="B30">
        <v>19832009</v>
      </c>
      <c r="C30" t="s">
        <v>20</v>
      </c>
      <c r="D30" t="s">
        <v>169</v>
      </c>
      <c r="E30" t="s">
        <v>170</v>
      </c>
      <c r="F30" t="s">
        <v>171</v>
      </c>
      <c r="G30" t="s">
        <v>172</v>
      </c>
      <c r="H30" t="s">
        <v>25</v>
      </c>
      <c r="I30" t="s">
        <v>173</v>
      </c>
      <c r="J30" t="s">
        <v>55</v>
      </c>
      <c r="L30" t="s">
        <v>29</v>
      </c>
      <c r="M30">
        <v>2</v>
      </c>
      <c r="N30" t="s">
        <v>46</v>
      </c>
      <c r="O30">
        <v>1</v>
      </c>
      <c r="P30" t="s">
        <v>47</v>
      </c>
      <c r="Q30" t="s">
        <v>56</v>
      </c>
      <c r="R30">
        <v>694</v>
      </c>
    </row>
    <row r="31" spans="1:18" x14ac:dyDescent="0.3">
      <c r="A31" t="s">
        <v>127</v>
      </c>
      <c r="B31">
        <v>19832009</v>
      </c>
      <c r="C31" t="s">
        <v>20</v>
      </c>
      <c r="D31" t="s">
        <v>178</v>
      </c>
      <c r="E31" t="s">
        <v>179</v>
      </c>
      <c r="F31" t="s">
        <v>180</v>
      </c>
      <c r="G31" t="s">
        <v>181</v>
      </c>
      <c r="H31" t="s">
        <v>25</v>
      </c>
      <c r="I31" t="s">
        <v>173</v>
      </c>
      <c r="J31" t="s">
        <v>55</v>
      </c>
      <c r="L31" t="s">
        <v>38</v>
      </c>
      <c r="M31">
        <v>16</v>
      </c>
      <c r="N31" t="s">
        <v>30</v>
      </c>
      <c r="O31">
        <v>10</v>
      </c>
      <c r="P31" t="s">
        <v>31</v>
      </c>
      <c r="Q31" t="s">
        <v>56</v>
      </c>
      <c r="R31">
        <v>260.25</v>
      </c>
    </row>
    <row r="32" spans="1:18" x14ac:dyDescent="0.3">
      <c r="A32" t="s">
        <v>182</v>
      </c>
      <c r="B32">
        <v>20392239</v>
      </c>
      <c r="C32" t="s">
        <v>49</v>
      </c>
      <c r="D32" t="s">
        <v>189</v>
      </c>
      <c r="E32" t="s">
        <v>190</v>
      </c>
      <c r="F32" t="s">
        <v>191</v>
      </c>
      <c r="G32" t="s">
        <v>192</v>
      </c>
      <c r="H32" t="s">
        <v>25</v>
      </c>
      <c r="I32" t="s">
        <v>193</v>
      </c>
      <c r="J32" t="s">
        <v>156</v>
      </c>
      <c r="L32" t="s">
        <v>38</v>
      </c>
      <c r="M32">
        <v>9</v>
      </c>
      <c r="O32">
        <v>0</v>
      </c>
      <c r="P32" t="s">
        <v>31</v>
      </c>
      <c r="Q32" t="s">
        <v>56</v>
      </c>
      <c r="R32">
        <v>231.33</v>
      </c>
    </row>
    <row r="33" spans="1:18" x14ac:dyDescent="0.3">
      <c r="A33" t="s">
        <v>182</v>
      </c>
      <c r="B33">
        <v>21041582</v>
      </c>
      <c r="C33" t="s">
        <v>57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t="s">
        <v>199</v>
      </c>
      <c r="J33" t="s">
        <v>200</v>
      </c>
      <c r="L33" t="s">
        <v>201</v>
      </c>
      <c r="M33">
        <v>2</v>
      </c>
      <c r="N33" t="s">
        <v>46</v>
      </c>
      <c r="O33">
        <v>2</v>
      </c>
      <c r="P33" t="s">
        <v>188</v>
      </c>
      <c r="Q33" t="s">
        <v>56</v>
      </c>
      <c r="R33">
        <v>28.91</v>
      </c>
    </row>
    <row r="34" spans="1:18" x14ac:dyDescent="0.3">
      <c r="A34" t="s">
        <v>182</v>
      </c>
      <c r="B34">
        <v>19832009</v>
      </c>
      <c r="C34" t="s">
        <v>20</v>
      </c>
      <c r="D34" t="s">
        <v>207</v>
      </c>
      <c r="E34" t="s">
        <v>208</v>
      </c>
      <c r="F34" t="s">
        <v>209</v>
      </c>
      <c r="G34" t="s">
        <v>210</v>
      </c>
      <c r="H34" t="s">
        <v>25</v>
      </c>
      <c r="I34" t="s">
        <v>211</v>
      </c>
      <c r="J34" t="s">
        <v>187</v>
      </c>
      <c r="L34" t="s">
        <v>29</v>
      </c>
      <c r="M34">
        <v>2</v>
      </c>
      <c r="N34" t="s">
        <v>46</v>
      </c>
      <c r="O34">
        <v>2</v>
      </c>
      <c r="P34" t="s">
        <v>188</v>
      </c>
      <c r="Q34" t="s">
        <v>56</v>
      </c>
      <c r="R34">
        <v>28.91</v>
      </c>
    </row>
    <row r="35" spans="1:18" x14ac:dyDescent="0.3">
      <c r="A35" t="s">
        <v>182</v>
      </c>
      <c r="B35">
        <v>18052208</v>
      </c>
      <c r="C35" t="s">
        <v>39</v>
      </c>
      <c r="D35" t="s">
        <v>212</v>
      </c>
      <c r="E35" t="s">
        <v>213</v>
      </c>
      <c r="F35" t="s">
        <v>214</v>
      </c>
      <c r="G35" t="s">
        <v>215</v>
      </c>
      <c r="H35" t="s">
        <v>25</v>
      </c>
      <c r="I35" t="s">
        <v>216</v>
      </c>
      <c r="J35" t="s">
        <v>156</v>
      </c>
      <c r="L35" t="s">
        <v>29</v>
      </c>
      <c r="M35">
        <v>1</v>
      </c>
      <c r="O35">
        <v>0</v>
      </c>
      <c r="P35" t="s">
        <v>31</v>
      </c>
      <c r="Q35" t="s">
        <v>56</v>
      </c>
      <c r="R35">
        <v>231.33</v>
      </c>
    </row>
    <row r="37" spans="1:18" x14ac:dyDescent="0.3">
      <c r="Q37" s="1" t="s">
        <v>237</v>
      </c>
      <c r="R37" s="2">
        <f>SUM(R2:R36)</f>
        <v>7518.32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F578-79A9-4BCB-ACAF-860C92FD5E57}">
  <dimension ref="A1:D13"/>
  <sheetViews>
    <sheetView workbookViewId="0">
      <selection activeCell="K14" sqref="K14"/>
    </sheetView>
  </sheetViews>
  <sheetFormatPr defaultRowHeight="14.4" x14ac:dyDescent="0.3"/>
  <cols>
    <col min="1" max="1" width="16.5546875" bestFit="1" customWidth="1"/>
    <col min="2" max="2" width="9" bestFit="1" customWidth="1"/>
    <col min="3" max="3" width="8.109375" bestFit="1" customWidth="1"/>
    <col min="4" max="4" width="46.33203125" bestFit="1" customWidth="1"/>
  </cols>
  <sheetData>
    <row r="1" spans="1:4" x14ac:dyDescent="0.3">
      <c r="A1" t="s">
        <v>236</v>
      </c>
      <c r="B1" t="s">
        <v>235</v>
      </c>
      <c r="C1" t="s">
        <v>234</v>
      </c>
      <c r="D1" t="s">
        <v>233</v>
      </c>
    </row>
    <row r="2" spans="1:4" x14ac:dyDescent="0.3">
      <c r="A2" t="s">
        <v>49</v>
      </c>
      <c r="B2" t="s">
        <v>227</v>
      </c>
      <c r="C2" s="3">
        <v>50</v>
      </c>
      <c r="D2" t="s">
        <v>232</v>
      </c>
    </row>
    <row r="3" spans="1:4" x14ac:dyDescent="0.3">
      <c r="A3" t="s">
        <v>39</v>
      </c>
      <c r="B3" t="s">
        <v>222</v>
      </c>
      <c r="C3" s="3">
        <v>50</v>
      </c>
      <c r="D3" t="s">
        <v>231</v>
      </c>
    </row>
    <row r="4" spans="1:4" x14ac:dyDescent="0.3">
      <c r="A4" t="s">
        <v>128</v>
      </c>
      <c r="B4" t="s">
        <v>230</v>
      </c>
      <c r="C4" s="3">
        <v>50</v>
      </c>
      <c r="D4" t="s">
        <v>229</v>
      </c>
    </row>
    <row r="5" spans="1:4" x14ac:dyDescent="0.3">
      <c r="A5" t="s">
        <v>20</v>
      </c>
      <c r="B5" t="s">
        <v>220</v>
      </c>
      <c r="C5" s="3">
        <v>50</v>
      </c>
      <c r="D5" t="s">
        <v>228</v>
      </c>
    </row>
    <row r="6" spans="1:4" x14ac:dyDescent="0.3">
      <c r="A6" t="s">
        <v>49</v>
      </c>
      <c r="B6" t="s">
        <v>227</v>
      </c>
      <c r="C6" s="3">
        <v>50</v>
      </c>
      <c r="D6" t="s">
        <v>226</v>
      </c>
    </row>
    <row r="7" spans="1:4" x14ac:dyDescent="0.3">
      <c r="A7" t="s">
        <v>57</v>
      </c>
      <c r="B7" t="s">
        <v>218</v>
      </c>
      <c r="C7" s="3">
        <v>50</v>
      </c>
      <c r="D7" t="s">
        <v>225</v>
      </c>
    </row>
    <row r="8" spans="1:4" x14ac:dyDescent="0.3">
      <c r="A8" t="s">
        <v>105</v>
      </c>
      <c r="B8" t="s">
        <v>224</v>
      </c>
      <c r="C8" s="3">
        <v>50</v>
      </c>
      <c r="D8" t="s">
        <v>223</v>
      </c>
    </row>
    <row r="9" spans="1:4" x14ac:dyDescent="0.3">
      <c r="A9" t="s">
        <v>39</v>
      </c>
      <c r="B9" t="s">
        <v>222</v>
      </c>
      <c r="C9" s="3">
        <v>50</v>
      </c>
      <c r="D9" t="s">
        <v>221</v>
      </c>
    </row>
    <row r="10" spans="1:4" x14ac:dyDescent="0.3">
      <c r="A10" t="s">
        <v>20</v>
      </c>
      <c r="B10" t="s">
        <v>220</v>
      </c>
      <c r="C10" s="3">
        <v>50</v>
      </c>
      <c r="D10" t="s">
        <v>219</v>
      </c>
    </row>
    <row r="11" spans="1:4" x14ac:dyDescent="0.3">
      <c r="A11" t="s">
        <v>57</v>
      </c>
      <c r="B11" t="s">
        <v>218</v>
      </c>
      <c r="C11" s="3">
        <v>50</v>
      </c>
      <c r="D11" t="s">
        <v>217</v>
      </c>
    </row>
    <row r="13" spans="1:4" x14ac:dyDescent="0.3">
      <c r="B13" s="1" t="s">
        <v>237</v>
      </c>
      <c r="C13" s="4">
        <f>SUM(C2:C12)</f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FA32542A-B60B-4996-90BE-AD363616C8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84645A-100D-4632-97F8-FCE632D7A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5D4051-BF9F-4A99-9491-6119C2A09EC0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Override</vt:lpstr>
      <vt:lpstr>Agent Portion</vt:lpstr>
      <vt:lpstr>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Perkins</dc:creator>
  <cp:lastModifiedBy>Serena Mullins</cp:lastModifiedBy>
  <dcterms:created xsi:type="dcterms:W3CDTF">2026-05-11T18:42:32Z</dcterms:created>
  <dcterms:modified xsi:type="dcterms:W3CDTF">2026-05-22T14:19:17Z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