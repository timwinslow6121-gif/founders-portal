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HR/Tidewater/Devoted Health/"/>
    </mc:Choice>
  </mc:AlternateContent>
  <xr:revisionPtr revIDLastSave="0" documentId="8_{61BB824F-3CDC-4A16-80D2-9CCFD314DA59}" xr6:coauthVersionLast="47" xr6:coauthVersionMax="47" xr10:uidLastSave="{00000000-0000-0000-0000-000000000000}"/>
  <bookViews>
    <workbookView xWindow="-108" yWindow="-108" windowWidth="23256" windowHeight="12456" xr2:uid="{2806BCDE-8BFC-477F-9D5C-B590242B2AD2}"/>
  </bookViews>
  <sheets>
    <sheet name="Totals" sheetId="4" r:id="rId1"/>
    <sheet name="Override " sheetId="1" r:id="rId2"/>
    <sheet name="Agent Portion" sheetId="3" r:id="rId3"/>
    <sheet name="HRA" sheetId="2" r:id="rId4"/>
  </sheets>
  <definedNames>
    <definedName name="_xlnm._FilterDatabase" localSheetId="1" hidden="1">'Override '!$A$1:$R$17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4" l="1"/>
  <c r="R19" i="1"/>
  <c r="R19" i="3"/>
  <c r="C6" i="2"/>
</calcChain>
</file>

<file path=xl/sharedStrings.xml><?xml version="1.0" encoding="utf-8"?>
<sst xmlns="http://schemas.openxmlformats.org/spreadsheetml/2006/main" count="470" uniqueCount="155">
  <si>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</si>
  <si>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</si>
  <si>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</si>
  <si>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</si>
  <si>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</si>
  <si>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</si>
  <si>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</si>
  <si>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</si>
  <si>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</si>
  <si>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</si>
  <si>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</si>
  <si>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</si>
  <si>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</si>
  <si>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</si>
  <si>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</si>
  <si>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</si>
  <si>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</si>
  <si>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</si>
  <si>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</si>
  <si>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06/05/2026</t>
  </si>
  <si>
    <t>Timothy Winslow</t>
  </si>
  <si>
    <t>D6CG6U</t>
  </si>
  <si>
    <t>1W45Y88MT87</t>
  </si>
  <si>
    <t>NORMA</t>
  </si>
  <si>
    <t>HAHN</t>
  </si>
  <si>
    <t>NC</t>
  </si>
  <si>
    <t>12/05/2025</t>
  </si>
  <si>
    <t>01/01/2026</t>
  </si>
  <si>
    <t>05/31/2026</t>
  </si>
  <si>
    <t>H5299</t>
  </si>
  <si>
    <t>MAPD</t>
  </si>
  <si>
    <t>Initial - Not New</t>
  </si>
  <si>
    <t>Jan</t>
  </si>
  <si>
    <t>Rebekah Long</t>
  </si>
  <si>
    <t>DW7ZHK</t>
  </si>
  <si>
    <t>8Y19U74NQ12</t>
  </si>
  <si>
    <t>ARLENE</t>
  </si>
  <si>
    <t>HOCKENBERRY</t>
  </si>
  <si>
    <t>11/20/2025</t>
  </si>
  <si>
    <t>H9700</t>
  </si>
  <si>
    <t>Brian Freeman</t>
  </si>
  <si>
    <t>D7A4R5</t>
  </si>
  <si>
    <t>8QN7HG8JM38</t>
  </si>
  <si>
    <t>TERESA</t>
  </si>
  <si>
    <t>PICKLER</t>
  </si>
  <si>
    <t>05/16/2026</t>
  </si>
  <si>
    <t>08/01/2026</t>
  </si>
  <si>
    <t>Jun</t>
  </si>
  <si>
    <t>DEGFJ5</t>
  </si>
  <si>
    <t>5GX5A06KQ59</t>
  </si>
  <si>
    <t>EMMANUEL</t>
  </si>
  <si>
    <t>PIPERIS</t>
  </si>
  <si>
    <t>05/19/2026</t>
  </si>
  <si>
    <t>06/01/2026</t>
  </si>
  <si>
    <t>06/12/2026</t>
  </si>
  <si>
    <t>Michael Lauzurique</t>
  </si>
  <si>
    <t>DRU86E</t>
  </si>
  <si>
    <t>9GV2Q54FY14</t>
  </si>
  <si>
    <t>MICHAEL</t>
  </si>
  <si>
    <t>BEAVER</t>
  </si>
  <si>
    <t>04/21/2026</t>
  </si>
  <si>
    <t>05/01/2026</t>
  </si>
  <si>
    <t>06/30/2026</t>
  </si>
  <si>
    <t>May</t>
  </si>
  <si>
    <t>D2UEKZ</t>
  </si>
  <si>
    <t>2HV0N71QM24</t>
  </si>
  <si>
    <t>SHEILA</t>
  </si>
  <si>
    <t>Justin Basinger</t>
  </si>
  <si>
    <t>DEFJRE</t>
  </si>
  <si>
    <t>5TG5TU6JK72</t>
  </si>
  <si>
    <t>HODGES</t>
  </si>
  <si>
    <t>04/22/2026</t>
  </si>
  <si>
    <t>NONE</t>
  </si>
  <si>
    <t>Initial - New</t>
  </si>
  <si>
    <t>DF543W</t>
  </si>
  <si>
    <t>3YJ4KE7PW73</t>
  </si>
  <si>
    <t>THERESE</t>
  </si>
  <si>
    <t>DANKEVICH</t>
  </si>
  <si>
    <t>05/05/2026</t>
  </si>
  <si>
    <t>D7SE7E</t>
  </si>
  <si>
    <t>2KC2VT4PV96</t>
  </si>
  <si>
    <t>BRUNO</t>
  </si>
  <si>
    <t>BAQUEDANO</t>
  </si>
  <si>
    <t>05/27/2026</t>
  </si>
  <si>
    <t>06/19/2026</t>
  </si>
  <si>
    <t>DKU2K2</t>
  </si>
  <si>
    <t>4JC2VW2CG25</t>
  </si>
  <si>
    <t>CRUZ</t>
  </si>
  <si>
    <t>GOMEZ DE CALZADA</t>
  </si>
  <si>
    <t>10/31/2025</t>
  </si>
  <si>
    <t>DAA75R</t>
  </si>
  <si>
    <t>3XM4U79PR71</t>
  </si>
  <si>
    <t>DELINDA</t>
  </si>
  <si>
    <t>HAMBY</t>
  </si>
  <si>
    <t>04/29/2026</t>
  </si>
  <si>
    <t>07/01/2026</t>
  </si>
  <si>
    <t>DKJRYW</t>
  </si>
  <si>
    <t>2E02PQ5UT83</t>
  </si>
  <si>
    <t>TIMOTHY</t>
  </si>
  <si>
    <t>ELLIOTT</t>
  </si>
  <si>
    <t>06/03/2026</t>
  </si>
  <si>
    <t>06/26/2026</t>
  </si>
  <si>
    <t>D4H3AG</t>
  </si>
  <si>
    <t>7J79VN2XD10</t>
  </si>
  <si>
    <t>JASENKA</t>
  </si>
  <si>
    <t>ADILOVIC</t>
  </si>
  <si>
    <t>06/09/2026</t>
  </si>
  <si>
    <t>DAH887</t>
  </si>
  <si>
    <t>7QY9GM5CA40</t>
  </si>
  <si>
    <t>MICHELLE</t>
  </si>
  <si>
    <t>BROADWAY</t>
  </si>
  <si>
    <t>11/06/2025</t>
  </si>
  <si>
    <t>12/01/2025</t>
  </si>
  <si>
    <t>Renewal - Monthly</t>
  </si>
  <si>
    <t>D55E63</t>
  </si>
  <si>
    <t>2TD4ET9HN61</t>
  </si>
  <si>
    <t>MARY</t>
  </si>
  <si>
    <t>COE</t>
  </si>
  <si>
    <t>Anjana Patel</t>
  </si>
  <si>
    <t>DHUZ3F</t>
  </si>
  <si>
    <t>1HW7AP7RC76</t>
  </si>
  <si>
    <t>TRACY</t>
  </si>
  <si>
    <t>HAYDEN</t>
  </si>
  <si>
    <t>SC</t>
  </si>
  <si>
    <t>08/25/2025</t>
  </si>
  <si>
    <t>09/01/2025</t>
  </si>
  <si>
    <t>H7028</t>
  </si>
  <si>
    <t>DAUU67</t>
  </si>
  <si>
    <t>6VT3RT2FM11</t>
  </si>
  <si>
    <t>BOBBY</t>
  </si>
  <si>
    <t>SMITH</t>
  </si>
  <si>
    <t>11/21/2025</t>
  </si>
  <si>
    <t>DHWYFS</t>
  </si>
  <si>
    <t>7DJ4WP7VK83</t>
  </si>
  <si>
    <t>TUTTEROW</t>
  </si>
  <si>
    <t>06/10/2026</t>
  </si>
  <si>
    <t>DYCS78</t>
  </si>
  <si>
    <t>8JD7NU5WA31</t>
  </si>
  <si>
    <t>ALAN</t>
  </si>
  <si>
    <t>WATTS</t>
  </si>
  <si>
    <t>11/01/2025</t>
  </si>
  <si>
    <t>Rep Name</t>
  </si>
  <si>
    <t>Rep ID</t>
  </si>
  <si>
    <t>Amount</t>
  </si>
  <si>
    <t>Note</t>
  </si>
  <si>
    <t>19832009</t>
  </si>
  <si>
    <t>HRA for member PATRICIA HUNSUCKER DH83F4 (NC)</t>
  </si>
  <si>
    <t>HRA for member PAULA HODGES D42WS6 (NC)</t>
  </si>
  <si>
    <t>20446812</t>
  </si>
  <si>
    <t>HRA for member Kimberly Moore DHG39R (NC)</t>
  </si>
  <si>
    <t xml:space="preserve">Total: </t>
  </si>
  <si>
    <t>Override</t>
  </si>
  <si>
    <t>Agent Portion</t>
  </si>
  <si>
    <t>HRA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</si>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</sst>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8" fontId="0" fillId="0" borderId="0" xfId="0" applyNumberFormat="1"/>
    <xf numFmtId="8" fontId="3" fillId="0" borderId="0" xfId="0" applyNumberFormat="1" applyFont="1"/>
    <xf numFmtId="0" fontId="3" fillId="0" borderId="0" xfId="0" applyFont="1"/>
    <xf numFmtId="44" fontId="3" fillId="0" borderId="0" xfId="1" applyFont="1"/>
    <xf numFmtId="44" fontId="0" fillId="0" borderId="0" xfId="1" applyFon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11B8-729D-45CB-B1CD-7DC2C7E9FD46}">
  <dimension ref="A1:B5"/>
  <sheetViews>
    <sheetView tabSelected="1" workbookViewId="0">
      <selection activeCell="A10" sqref="A10"/>
    </sheetView>
  </sheetViews>
  <sheetFormatPr defaultRowHeight="14.4" x14ac:dyDescent="0.3"/>
  <cols>
    <col min="1" max="1" width="11.6640625" bestFit="1" customWidth="1"/>
    <col min="2" max="2" width="10.21875" style="5" bestFit="1" customWidth="1"/>
  </cols>
  <sheetData>
    <row r="1" spans="1:2" x14ac:dyDescent="0.3">
      <c r="A1" t="s">
        <v>151</v>
      </c>
      <c r="B1" s="5">
        <v>296.24</v>
      </c>
    </row>
    <row r="2" spans="1:2" x14ac:dyDescent="0.3">
      <c r="A2" t="s">
        <v>152</v>
      </c>
      <c r="B2" s="5">
        <v>1561.5</v>
      </c>
    </row>
    <row r="3" spans="1:2" x14ac:dyDescent="0.3">
      <c r="A3" t="s">
        <v>153</v>
      </c>
      <c r="B3" s="6">
        <v>-150</v>
      </c>
    </row>
    <row r="5" spans="1:2" x14ac:dyDescent="0.3">
      <c r="A5" s="3" t="s">
        <v>154</v>
      </c>
      <c r="B5" s="4">
        <f>SUM(B1:B4)</f>
        <v>1707.74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E606-38D6-46AF-A6CE-6579B000C48A}">
  <dimension ref="A1:R19"/>
  <sheetViews>
    <sheetView topLeftCell="D1" workbookViewId="0">
      <selection activeCell="P21" sqref="P21"/>
    </sheetView>
  </sheetViews>
  <sheetFormatPr defaultRowHeight="14.4" x14ac:dyDescent="0.3"/>
  <cols>
    <col min="1" max="1" width="13.44140625" bestFit="1" customWidth="1"/>
    <col min="2" max="2" width="9.6640625" bestFit="1" customWidth="1"/>
    <col min="3" max="3" width="16.5546875" bestFit="1" customWidth="1"/>
    <col min="4" max="4" width="9.6640625" bestFit="1" customWidth="1"/>
    <col min="5" max="5" width="13.6640625" bestFit="1" customWidth="1"/>
    <col min="6" max="6" width="11.5546875" bestFit="1" customWidth="1"/>
    <col min="7" max="7" width="17.6640625" bestFit="1" customWidth="1"/>
    <col min="8" max="8" width="12.109375" bestFit="1" customWidth="1"/>
    <col min="9" max="9" width="12.6640625" bestFit="1" customWidth="1"/>
    <col min="10" max="10" width="12" bestFit="1" customWidth="1"/>
    <col min="11" max="11" width="12.21875" bestFit="1" customWidth="1"/>
    <col min="12" max="12" width="8" bestFit="1" customWidth="1"/>
    <col min="13" max="13" width="4.33203125" bestFit="1" customWidth="1"/>
    <col min="14" max="14" width="12.77734375" bestFit="1" customWidth="1"/>
    <col min="15" max="15" width="13.5546875" bestFit="1" customWidth="1"/>
    <col min="16" max="16" width="15.5546875" bestFit="1" customWidth="1"/>
    <col min="17" max="17" width="6.21875" bestFit="1" customWidth="1"/>
    <col min="18" max="18" width="12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</row>
    <row r="2" spans="1:18" x14ac:dyDescent="0.3">
      <c r="A2" t="s">
        <v>19</v>
      </c>
      <c r="B2">
        <v>18708064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16</v>
      </c>
      <c r="N2" t="s">
        <v>30</v>
      </c>
      <c r="O2">
        <v>4</v>
      </c>
      <c r="P2" t="s">
        <v>31</v>
      </c>
      <c r="Q2" t="s">
        <v>32</v>
      </c>
      <c r="R2">
        <v>-72.92</v>
      </c>
    </row>
    <row r="3" spans="1:18" x14ac:dyDescent="0.3">
      <c r="A3" t="s">
        <v>19</v>
      </c>
      <c r="B3">
        <v>20182775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25</v>
      </c>
      <c r="I3" t="s">
        <v>38</v>
      </c>
      <c r="J3" t="s">
        <v>27</v>
      </c>
      <c r="K3" t="s">
        <v>28</v>
      </c>
      <c r="L3" t="s">
        <v>39</v>
      </c>
      <c r="M3">
        <v>1</v>
      </c>
      <c r="N3" t="s">
        <v>30</v>
      </c>
      <c r="O3">
        <v>18</v>
      </c>
      <c r="P3" t="s">
        <v>31</v>
      </c>
      <c r="Q3" t="s">
        <v>32</v>
      </c>
      <c r="R3">
        <v>-72.92</v>
      </c>
    </row>
    <row r="4" spans="1:18" x14ac:dyDescent="0.3">
      <c r="A4" t="s">
        <v>19</v>
      </c>
      <c r="B4">
        <v>19832009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25</v>
      </c>
      <c r="I4" t="s">
        <v>45</v>
      </c>
      <c r="J4" t="s">
        <v>46</v>
      </c>
      <c r="L4" t="s">
        <v>39</v>
      </c>
      <c r="M4">
        <v>2</v>
      </c>
      <c r="O4">
        <v>0</v>
      </c>
      <c r="P4" t="s">
        <v>31</v>
      </c>
      <c r="Q4" t="s">
        <v>47</v>
      </c>
      <c r="R4">
        <v>125</v>
      </c>
    </row>
    <row r="5" spans="1:18" x14ac:dyDescent="0.3">
      <c r="A5" t="s">
        <v>19</v>
      </c>
      <c r="B5">
        <v>20182775</v>
      </c>
      <c r="C5" t="s">
        <v>33</v>
      </c>
      <c r="D5" t="s">
        <v>48</v>
      </c>
      <c r="E5" t="s">
        <v>49</v>
      </c>
      <c r="F5" t="s">
        <v>50</v>
      </c>
      <c r="G5" t="s">
        <v>51</v>
      </c>
      <c r="H5" t="s">
        <v>25</v>
      </c>
      <c r="I5" t="s">
        <v>52</v>
      </c>
      <c r="J5" t="s">
        <v>53</v>
      </c>
      <c r="L5" t="s">
        <v>39</v>
      </c>
      <c r="M5">
        <v>7</v>
      </c>
      <c r="O5">
        <v>0</v>
      </c>
      <c r="P5" t="s">
        <v>31</v>
      </c>
      <c r="Q5" t="s">
        <v>47</v>
      </c>
      <c r="R5">
        <v>125</v>
      </c>
    </row>
    <row r="6" spans="1:18" x14ac:dyDescent="0.3">
      <c r="A6" t="s">
        <v>54</v>
      </c>
      <c r="B6">
        <v>18052208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25</v>
      </c>
      <c r="I6" t="s">
        <v>60</v>
      </c>
      <c r="J6" t="s">
        <v>61</v>
      </c>
      <c r="K6" t="s">
        <v>62</v>
      </c>
      <c r="L6" t="s">
        <v>29</v>
      </c>
      <c r="M6">
        <v>9</v>
      </c>
      <c r="N6" t="s">
        <v>30</v>
      </c>
      <c r="O6">
        <v>15</v>
      </c>
      <c r="P6" t="s">
        <v>31</v>
      </c>
      <c r="Q6" t="s">
        <v>63</v>
      </c>
      <c r="R6">
        <v>-125</v>
      </c>
    </row>
    <row r="7" spans="1:18" x14ac:dyDescent="0.3">
      <c r="A7" t="s">
        <v>54</v>
      </c>
      <c r="B7">
        <v>18052208</v>
      </c>
      <c r="C7" t="s">
        <v>55</v>
      </c>
      <c r="D7" t="s">
        <v>64</v>
      </c>
      <c r="E7" t="s">
        <v>65</v>
      </c>
      <c r="F7" t="s">
        <v>66</v>
      </c>
      <c r="G7" t="s">
        <v>59</v>
      </c>
      <c r="H7" t="s">
        <v>25</v>
      </c>
      <c r="I7" t="s">
        <v>60</v>
      </c>
      <c r="J7" t="s">
        <v>61</v>
      </c>
      <c r="K7" t="s">
        <v>62</v>
      </c>
      <c r="L7" t="s">
        <v>29</v>
      </c>
      <c r="M7">
        <v>9</v>
      </c>
      <c r="N7" t="s">
        <v>30</v>
      </c>
      <c r="O7">
        <v>15</v>
      </c>
      <c r="P7" t="s">
        <v>31</v>
      </c>
      <c r="Q7" t="s">
        <v>63</v>
      </c>
      <c r="R7">
        <v>-125</v>
      </c>
    </row>
    <row r="8" spans="1:18" x14ac:dyDescent="0.3">
      <c r="A8" t="s">
        <v>54</v>
      </c>
      <c r="B8">
        <v>19832009</v>
      </c>
      <c r="C8" t="s">
        <v>40</v>
      </c>
      <c r="D8" t="s">
        <v>79</v>
      </c>
      <c r="E8" t="s">
        <v>80</v>
      </c>
      <c r="F8" t="s">
        <v>81</v>
      </c>
      <c r="G8" t="s">
        <v>82</v>
      </c>
      <c r="H8" t="s">
        <v>25</v>
      </c>
      <c r="I8" t="s">
        <v>83</v>
      </c>
      <c r="J8" t="s">
        <v>53</v>
      </c>
      <c r="L8" t="s">
        <v>29</v>
      </c>
      <c r="M8">
        <v>12</v>
      </c>
      <c r="N8" t="s">
        <v>72</v>
      </c>
      <c r="O8">
        <v>1</v>
      </c>
      <c r="P8" t="s">
        <v>73</v>
      </c>
      <c r="Q8" t="s">
        <v>47</v>
      </c>
      <c r="R8">
        <v>125</v>
      </c>
    </row>
    <row r="9" spans="1:18" x14ac:dyDescent="0.3">
      <c r="A9" t="s">
        <v>84</v>
      </c>
      <c r="B9">
        <v>18052208</v>
      </c>
      <c r="C9" t="s">
        <v>55</v>
      </c>
      <c r="D9" t="s">
        <v>85</v>
      </c>
      <c r="E9" t="s">
        <v>86</v>
      </c>
      <c r="F9" t="s">
        <v>87</v>
      </c>
      <c r="G9" t="s">
        <v>88</v>
      </c>
      <c r="H9" t="s">
        <v>25</v>
      </c>
      <c r="I9" t="s">
        <v>89</v>
      </c>
      <c r="J9" t="s">
        <v>27</v>
      </c>
      <c r="K9" t="s">
        <v>28</v>
      </c>
      <c r="L9" t="s">
        <v>29</v>
      </c>
      <c r="M9">
        <v>16</v>
      </c>
      <c r="N9" t="s">
        <v>30</v>
      </c>
      <c r="O9">
        <v>5</v>
      </c>
      <c r="P9" t="s">
        <v>31</v>
      </c>
      <c r="Q9" t="s">
        <v>32</v>
      </c>
      <c r="R9">
        <v>-72.92</v>
      </c>
    </row>
    <row r="10" spans="1:18" x14ac:dyDescent="0.3">
      <c r="A10" t="s">
        <v>84</v>
      </c>
      <c r="B10">
        <v>19832009</v>
      </c>
      <c r="C10" t="s">
        <v>40</v>
      </c>
      <c r="D10" t="s">
        <v>90</v>
      </c>
      <c r="E10" t="s">
        <v>91</v>
      </c>
      <c r="F10" t="s">
        <v>92</v>
      </c>
      <c r="G10" t="s">
        <v>93</v>
      </c>
      <c r="H10" t="s">
        <v>25</v>
      </c>
      <c r="I10" t="s">
        <v>94</v>
      </c>
      <c r="J10" t="s">
        <v>95</v>
      </c>
      <c r="L10" t="s">
        <v>39</v>
      </c>
      <c r="M10">
        <v>2</v>
      </c>
      <c r="N10" t="s">
        <v>72</v>
      </c>
      <c r="O10">
        <v>-1</v>
      </c>
      <c r="P10" t="s">
        <v>73</v>
      </c>
      <c r="Q10" t="s">
        <v>63</v>
      </c>
      <c r="R10">
        <v>-125</v>
      </c>
    </row>
    <row r="11" spans="1:18" x14ac:dyDescent="0.3">
      <c r="A11" t="s">
        <v>84</v>
      </c>
      <c r="B11">
        <v>19832009</v>
      </c>
      <c r="C11" t="s">
        <v>40</v>
      </c>
      <c r="D11" t="s">
        <v>96</v>
      </c>
      <c r="E11" t="s">
        <v>97</v>
      </c>
      <c r="F11" t="s">
        <v>98</v>
      </c>
      <c r="G11" t="s">
        <v>99</v>
      </c>
      <c r="H11" t="s">
        <v>25</v>
      </c>
      <c r="I11" t="s">
        <v>100</v>
      </c>
      <c r="J11" t="s">
        <v>95</v>
      </c>
      <c r="L11" t="s">
        <v>29</v>
      </c>
      <c r="M11">
        <v>16</v>
      </c>
      <c r="O11">
        <v>0</v>
      </c>
      <c r="P11" t="s">
        <v>31</v>
      </c>
      <c r="Q11" t="s">
        <v>47</v>
      </c>
      <c r="R11">
        <v>125</v>
      </c>
    </row>
    <row r="12" spans="1:18" x14ac:dyDescent="0.3">
      <c r="A12" t="s">
        <v>101</v>
      </c>
      <c r="B12">
        <v>18052208</v>
      </c>
      <c r="C12" t="s">
        <v>55</v>
      </c>
      <c r="D12" t="s">
        <v>102</v>
      </c>
      <c r="E12" t="s">
        <v>103</v>
      </c>
      <c r="F12" t="s">
        <v>104</v>
      </c>
      <c r="G12" t="s">
        <v>105</v>
      </c>
      <c r="H12" t="s">
        <v>25</v>
      </c>
      <c r="I12" t="s">
        <v>106</v>
      </c>
      <c r="J12" t="s">
        <v>95</v>
      </c>
      <c r="L12" t="s">
        <v>29</v>
      </c>
      <c r="M12">
        <v>12</v>
      </c>
      <c r="O12">
        <v>0</v>
      </c>
      <c r="P12" t="s">
        <v>31</v>
      </c>
      <c r="Q12" t="s">
        <v>47</v>
      </c>
      <c r="R12">
        <v>125</v>
      </c>
    </row>
    <row r="13" spans="1:18" x14ac:dyDescent="0.3">
      <c r="A13" t="s">
        <v>101</v>
      </c>
      <c r="B13">
        <v>20182775</v>
      </c>
      <c r="C13" t="s">
        <v>33</v>
      </c>
      <c r="D13" t="s">
        <v>107</v>
      </c>
      <c r="E13" t="s">
        <v>108</v>
      </c>
      <c r="F13" t="s">
        <v>109</v>
      </c>
      <c r="G13" t="s">
        <v>110</v>
      </c>
      <c r="H13" t="s">
        <v>25</v>
      </c>
      <c r="I13" t="s">
        <v>111</v>
      </c>
      <c r="J13" t="s">
        <v>112</v>
      </c>
      <c r="L13" t="s">
        <v>39</v>
      </c>
      <c r="M13">
        <v>2</v>
      </c>
      <c r="N13" t="s">
        <v>72</v>
      </c>
      <c r="O13">
        <v>2</v>
      </c>
      <c r="P13" t="s">
        <v>113</v>
      </c>
      <c r="Q13" t="s">
        <v>47</v>
      </c>
      <c r="R13">
        <v>5</v>
      </c>
    </row>
    <row r="14" spans="1:18" x14ac:dyDescent="0.3">
      <c r="A14" t="s">
        <v>101</v>
      </c>
      <c r="B14">
        <v>18052208</v>
      </c>
      <c r="C14" t="s">
        <v>55</v>
      </c>
      <c r="D14" t="s">
        <v>114</v>
      </c>
      <c r="E14" t="s">
        <v>115</v>
      </c>
      <c r="F14" t="s">
        <v>116</v>
      </c>
      <c r="G14" t="s">
        <v>117</v>
      </c>
      <c r="H14" t="s">
        <v>25</v>
      </c>
      <c r="I14" t="s">
        <v>106</v>
      </c>
      <c r="J14" t="s">
        <v>95</v>
      </c>
      <c r="L14" t="s">
        <v>29</v>
      </c>
      <c r="M14">
        <v>15</v>
      </c>
      <c r="O14">
        <v>0</v>
      </c>
      <c r="P14" t="s">
        <v>31</v>
      </c>
      <c r="Q14" t="s">
        <v>47</v>
      </c>
      <c r="R14">
        <v>125</v>
      </c>
    </row>
    <row r="15" spans="1:18" x14ac:dyDescent="0.3">
      <c r="A15" t="s">
        <v>101</v>
      </c>
      <c r="B15">
        <v>20182775</v>
      </c>
      <c r="C15" t="s">
        <v>33</v>
      </c>
      <c r="D15" t="s">
        <v>127</v>
      </c>
      <c r="E15" t="s">
        <v>128</v>
      </c>
      <c r="F15" t="s">
        <v>129</v>
      </c>
      <c r="G15" t="s">
        <v>130</v>
      </c>
      <c r="H15" t="s">
        <v>25</v>
      </c>
      <c r="I15" t="s">
        <v>131</v>
      </c>
      <c r="J15" t="s">
        <v>112</v>
      </c>
      <c r="L15" t="s">
        <v>39</v>
      </c>
      <c r="M15">
        <v>2</v>
      </c>
      <c r="N15" t="s">
        <v>72</v>
      </c>
      <c r="O15">
        <v>2</v>
      </c>
      <c r="P15" t="s">
        <v>113</v>
      </c>
      <c r="Q15" t="s">
        <v>47</v>
      </c>
      <c r="R15">
        <v>5</v>
      </c>
    </row>
    <row r="16" spans="1:18" x14ac:dyDescent="0.3">
      <c r="A16" t="s">
        <v>101</v>
      </c>
      <c r="B16">
        <v>20446812</v>
      </c>
      <c r="C16" t="s">
        <v>67</v>
      </c>
      <c r="D16" t="s">
        <v>132</v>
      </c>
      <c r="E16" t="s">
        <v>133</v>
      </c>
      <c r="F16" t="s">
        <v>43</v>
      </c>
      <c r="G16" t="s">
        <v>134</v>
      </c>
      <c r="H16" t="s">
        <v>25</v>
      </c>
      <c r="I16" t="s">
        <v>135</v>
      </c>
      <c r="J16" t="s">
        <v>95</v>
      </c>
      <c r="L16" t="s">
        <v>29</v>
      </c>
      <c r="M16">
        <v>15</v>
      </c>
      <c r="O16">
        <v>0</v>
      </c>
      <c r="P16" t="s">
        <v>31</v>
      </c>
      <c r="Q16" t="s">
        <v>47</v>
      </c>
      <c r="R16">
        <v>125</v>
      </c>
    </row>
    <row r="17" spans="1:18" x14ac:dyDescent="0.3">
      <c r="A17" t="s">
        <v>101</v>
      </c>
      <c r="B17">
        <v>19832009</v>
      </c>
      <c r="C17" t="s">
        <v>40</v>
      </c>
      <c r="D17" t="s">
        <v>136</v>
      </c>
      <c r="E17" t="s">
        <v>137</v>
      </c>
      <c r="F17" t="s">
        <v>138</v>
      </c>
      <c r="G17" t="s">
        <v>139</v>
      </c>
      <c r="H17" t="s">
        <v>25</v>
      </c>
      <c r="I17" t="s">
        <v>140</v>
      </c>
      <c r="J17" t="s">
        <v>112</v>
      </c>
      <c r="L17" t="s">
        <v>39</v>
      </c>
      <c r="M17">
        <v>2</v>
      </c>
      <c r="N17" t="s">
        <v>72</v>
      </c>
      <c r="O17">
        <v>2</v>
      </c>
      <c r="P17" t="s">
        <v>113</v>
      </c>
      <c r="Q17" t="s">
        <v>47</v>
      </c>
      <c r="R17">
        <v>5</v>
      </c>
    </row>
    <row r="19" spans="1:18" x14ac:dyDescent="0.3">
      <c r="Q19" s="3" t="s">
        <v>150</v>
      </c>
      <c r="R19" s="4">
        <f>SUM(R2:R18)</f>
        <v>296.24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E122-2F62-47BB-A9A6-A77717FD3741}">
  <dimension ref="A1:R19"/>
  <sheetViews>
    <sheetView topLeftCell="D1" workbookViewId="0">
      <selection activeCell="R19" sqref="R19"/>
    </sheetView>
  </sheetViews>
  <sheetFormatPr defaultRowHeight="14.4" x14ac:dyDescent="0.3"/>
  <cols>
    <col min="1" max="1" width="13.44140625" bestFit="1" customWidth="1"/>
    <col min="2" max="2" width="9.6640625" bestFit="1" customWidth="1"/>
    <col min="3" max="3" width="16.5546875" bestFit="1" customWidth="1"/>
    <col min="4" max="4" width="9.6640625" bestFit="1" customWidth="1"/>
    <col min="5" max="5" width="13.6640625" bestFit="1" customWidth="1"/>
    <col min="6" max="6" width="11.5546875" bestFit="1" customWidth="1"/>
    <col min="7" max="7" width="17.6640625" bestFit="1" customWidth="1"/>
    <col min="8" max="8" width="12.109375" bestFit="1" customWidth="1"/>
    <col min="9" max="9" width="12.6640625" bestFit="1" customWidth="1"/>
    <col min="10" max="10" width="12" bestFit="1" customWidth="1"/>
    <col min="11" max="11" width="12.21875" bestFit="1" customWidth="1"/>
    <col min="12" max="12" width="8" bestFit="1" customWidth="1"/>
    <col min="13" max="13" width="4.33203125" bestFit="1" customWidth="1"/>
    <col min="14" max="14" width="12.77734375" bestFit="1" customWidth="1"/>
    <col min="15" max="15" width="13.5546875" bestFit="1" customWidth="1"/>
    <col min="16" max="16" width="15.5546875" bestFit="1" customWidth="1"/>
    <col min="17" max="17" width="6.21875" bestFit="1" customWidth="1"/>
    <col min="18" max="18" width="11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19</v>
      </c>
      <c r="B2">
        <v>18708064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16</v>
      </c>
      <c r="N2" t="s">
        <v>30</v>
      </c>
      <c r="O2">
        <v>4</v>
      </c>
      <c r="P2" t="s">
        <v>31</v>
      </c>
      <c r="Q2" t="s">
        <v>32</v>
      </c>
      <c r="R2">
        <v>-202.42</v>
      </c>
    </row>
    <row r="3" spans="1:18" x14ac:dyDescent="0.3">
      <c r="A3" t="s">
        <v>19</v>
      </c>
      <c r="B3">
        <v>19832009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25</v>
      </c>
      <c r="I3" t="s">
        <v>45</v>
      </c>
      <c r="J3" t="s">
        <v>46</v>
      </c>
      <c r="L3" t="s">
        <v>39</v>
      </c>
      <c r="M3">
        <v>2</v>
      </c>
      <c r="O3">
        <v>0</v>
      </c>
      <c r="P3" t="s">
        <v>31</v>
      </c>
      <c r="Q3" t="s">
        <v>47</v>
      </c>
      <c r="R3">
        <v>144.58000000000001</v>
      </c>
    </row>
    <row r="4" spans="1:18" x14ac:dyDescent="0.3">
      <c r="A4" t="s">
        <v>54</v>
      </c>
      <c r="B4">
        <v>18052208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25</v>
      </c>
      <c r="I4" t="s">
        <v>60</v>
      </c>
      <c r="J4" t="s">
        <v>61</v>
      </c>
      <c r="K4" t="s">
        <v>62</v>
      </c>
      <c r="L4" t="s">
        <v>29</v>
      </c>
      <c r="M4">
        <v>9</v>
      </c>
      <c r="N4" t="s">
        <v>30</v>
      </c>
      <c r="O4">
        <v>15</v>
      </c>
      <c r="P4" t="s">
        <v>31</v>
      </c>
      <c r="Q4" t="s">
        <v>63</v>
      </c>
      <c r="R4">
        <v>-231.33</v>
      </c>
    </row>
    <row r="5" spans="1:18" x14ac:dyDescent="0.3">
      <c r="A5" t="s">
        <v>54</v>
      </c>
      <c r="B5">
        <v>18052208</v>
      </c>
      <c r="C5" t="s">
        <v>55</v>
      </c>
      <c r="D5" t="s">
        <v>64</v>
      </c>
      <c r="E5" t="s">
        <v>65</v>
      </c>
      <c r="F5" t="s">
        <v>66</v>
      </c>
      <c r="G5" t="s">
        <v>59</v>
      </c>
      <c r="H5" t="s">
        <v>25</v>
      </c>
      <c r="I5" t="s">
        <v>60</v>
      </c>
      <c r="J5" t="s">
        <v>61</v>
      </c>
      <c r="K5" t="s">
        <v>62</v>
      </c>
      <c r="L5" t="s">
        <v>29</v>
      </c>
      <c r="M5">
        <v>9</v>
      </c>
      <c r="N5" t="s">
        <v>30</v>
      </c>
      <c r="O5">
        <v>15</v>
      </c>
      <c r="P5" t="s">
        <v>31</v>
      </c>
      <c r="Q5" t="s">
        <v>63</v>
      </c>
      <c r="R5">
        <v>-231.33</v>
      </c>
    </row>
    <row r="6" spans="1:18" x14ac:dyDescent="0.3">
      <c r="A6" t="s">
        <v>54</v>
      </c>
      <c r="B6">
        <v>20446812</v>
      </c>
      <c r="C6" t="s">
        <v>67</v>
      </c>
      <c r="D6" t="s">
        <v>68</v>
      </c>
      <c r="E6" t="s">
        <v>69</v>
      </c>
      <c r="F6" t="s">
        <v>58</v>
      </c>
      <c r="G6" t="s">
        <v>70</v>
      </c>
      <c r="H6" t="s">
        <v>25</v>
      </c>
      <c r="I6" t="s">
        <v>71</v>
      </c>
      <c r="J6" t="s">
        <v>53</v>
      </c>
      <c r="L6" t="s">
        <v>39</v>
      </c>
      <c r="M6">
        <v>7</v>
      </c>
      <c r="N6" t="s">
        <v>72</v>
      </c>
      <c r="O6">
        <v>1</v>
      </c>
      <c r="P6" t="s">
        <v>73</v>
      </c>
      <c r="Q6" t="s">
        <v>63</v>
      </c>
      <c r="R6">
        <v>491.59</v>
      </c>
    </row>
    <row r="7" spans="1:18" x14ac:dyDescent="0.3">
      <c r="A7" t="s">
        <v>54</v>
      </c>
      <c r="B7">
        <v>18052208</v>
      </c>
      <c r="C7" t="s">
        <v>55</v>
      </c>
      <c r="D7" t="s">
        <v>74</v>
      </c>
      <c r="E7" t="s">
        <v>75</v>
      </c>
      <c r="F7" t="s">
        <v>76</v>
      </c>
      <c r="G7" t="s">
        <v>77</v>
      </c>
      <c r="H7" t="s">
        <v>25</v>
      </c>
      <c r="I7" t="s">
        <v>78</v>
      </c>
      <c r="J7" t="s">
        <v>53</v>
      </c>
      <c r="L7" t="s">
        <v>39</v>
      </c>
      <c r="M7">
        <v>1</v>
      </c>
      <c r="N7" t="s">
        <v>72</v>
      </c>
      <c r="O7">
        <v>1</v>
      </c>
      <c r="P7" t="s">
        <v>73</v>
      </c>
      <c r="Q7" t="s">
        <v>63</v>
      </c>
      <c r="R7">
        <v>491.59</v>
      </c>
    </row>
    <row r="8" spans="1:18" x14ac:dyDescent="0.3">
      <c r="A8" t="s">
        <v>54</v>
      </c>
      <c r="B8">
        <v>19832009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25</v>
      </c>
      <c r="I8" t="s">
        <v>45</v>
      </c>
      <c r="J8" t="s">
        <v>46</v>
      </c>
      <c r="L8" t="s">
        <v>39</v>
      </c>
      <c r="M8">
        <v>2</v>
      </c>
      <c r="N8" t="s">
        <v>72</v>
      </c>
      <c r="O8">
        <v>-1</v>
      </c>
      <c r="P8" t="s">
        <v>73</v>
      </c>
      <c r="Q8" t="s">
        <v>47</v>
      </c>
      <c r="R8">
        <v>549.41999999999996</v>
      </c>
    </row>
    <row r="9" spans="1:18" x14ac:dyDescent="0.3">
      <c r="A9" t="s">
        <v>54</v>
      </c>
      <c r="B9">
        <v>19832009</v>
      </c>
      <c r="C9" t="s">
        <v>40</v>
      </c>
      <c r="D9" t="s">
        <v>79</v>
      </c>
      <c r="E9" t="s">
        <v>80</v>
      </c>
      <c r="F9" t="s">
        <v>81</v>
      </c>
      <c r="G9" t="s">
        <v>82</v>
      </c>
      <c r="H9" t="s">
        <v>25</v>
      </c>
      <c r="I9" t="s">
        <v>83</v>
      </c>
      <c r="J9" t="s">
        <v>53</v>
      </c>
      <c r="L9" t="s">
        <v>29</v>
      </c>
      <c r="M9">
        <v>12</v>
      </c>
      <c r="N9" t="s">
        <v>72</v>
      </c>
      <c r="O9">
        <v>1</v>
      </c>
      <c r="P9" t="s">
        <v>73</v>
      </c>
      <c r="Q9" t="s">
        <v>47</v>
      </c>
      <c r="R9">
        <v>694</v>
      </c>
    </row>
    <row r="10" spans="1:18" x14ac:dyDescent="0.3">
      <c r="A10" t="s">
        <v>84</v>
      </c>
      <c r="B10">
        <v>18052208</v>
      </c>
      <c r="C10" t="s">
        <v>55</v>
      </c>
      <c r="D10" t="s">
        <v>85</v>
      </c>
      <c r="E10" t="s">
        <v>86</v>
      </c>
      <c r="F10" t="s">
        <v>87</v>
      </c>
      <c r="G10" t="s">
        <v>88</v>
      </c>
      <c r="H10" t="s">
        <v>25</v>
      </c>
      <c r="I10" t="s">
        <v>89</v>
      </c>
      <c r="J10" t="s">
        <v>27</v>
      </c>
      <c r="K10" t="s">
        <v>28</v>
      </c>
      <c r="L10" t="s">
        <v>29</v>
      </c>
      <c r="M10">
        <v>16</v>
      </c>
      <c r="N10" t="s">
        <v>30</v>
      </c>
      <c r="O10">
        <v>5</v>
      </c>
      <c r="P10" t="s">
        <v>31</v>
      </c>
      <c r="Q10" t="s">
        <v>32</v>
      </c>
      <c r="R10">
        <v>-202.42</v>
      </c>
    </row>
    <row r="11" spans="1:18" x14ac:dyDescent="0.3">
      <c r="A11" t="s">
        <v>84</v>
      </c>
      <c r="B11">
        <v>19832009</v>
      </c>
      <c r="C11" t="s">
        <v>40</v>
      </c>
      <c r="D11" t="s">
        <v>90</v>
      </c>
      <c r="E11" t="s">
        <v>91</v>
      </c>
      <c r="F11" t="s">
        <v>92</v>
      </c>
      <c r="G11" t="s">
        <v>93</v>
      </c>
      <c r="H11" t="s">
        <v>25</v>
      </c>
      <c r="I11" t="s">
        <v>94</v>
      </c>
      <c r="J11" t="s">
        <v>95</v>
      </c>
      <c r="L11" t="s">
        <v>39</v>
      </c>
      <c r="M11">
        <v>2</v>
      </c>
      <c r="N11" t="s">
        <v>72</v>
      </c>
      <c r="O11">
        <v>-1</v>
      </c>
      <c r="P11" t="s">
        <v>73</v>
      </c>
      <c r="Q11" t="s">
        <v>63</v>
      </c>
      <c r="R11">
        <v>-694</v>
      </c>
    </row>
    <row r="12" spans="1:18" x14ac:dyDescent="0.3">
      <c r="A12" t="s">
        <v>84</v>
      </c>
      <c r="B12">
        <v>19832009</v>
      </c>
      <c r="C12" t="s">
        <v>40</v>
      </c>
      <c r="D12" t="s">
        <v>96</v>
      </c>
      <c r="E12" t="s">
        <v>97</v>
      </c>
      <c r="F12" t="s">
        <v>98</v>
      </c>
      <c r="G12" t="s">
        <v>99</v>
      </c>
      <c r="H12" t="s">
        <v>25</v>
      </c>
      <c r="I12" t="s">
        <v>100</v>
      </c>
      <c r="J12" t="s">
        <v>95</v>
      </c>
      <c r="L12" t="s">
        <v>29</v>
      </c>
      <c r="M12">
        <v>16</v>
      </c>
      <c r="O12">
        <v>0</v>
      </c>
      <c r="P12" t="s">
        <v>31</v>
      </c>
      <c r="Q12" t="s">
        <v>47</v>
      </c>
      <c r="R12">
        <v>173.5</v>
      </c>
    </row>
    <row r="13" spans="1:18" x14ac:dyDescent="0.3">
      <c r="A13" t="s">
        <v>101</v>
      </c>
      <c r="B13">
        <v>18052208</v>
      </c>
      <c r="C13" t="s">
        <v>55</v>
      </c>
      <c r="D13" t="s">
        <v>102</v>
      </c>
      <c r="E13" t="s">
        <v>103</v>
      </c>
      <c r="F13" t="s">
        <v>104</v>
      </c>
      <c r="G13" t="s">
        <v>105</v>
      </c>
      <c r="H13" t="s">
        <v>25</v>
      </c>
      <c r="I13" t="s">
        <v>106</v>
      </c>
      <c r="J13" t="s">
        <v>95</v>
      </c>
      <c r="L13" t="s">
        <v>29</v>
      </c>
      <c r="M13">
        <v>12</v>
      </c>
      <c r="O13">
        <v>0</v>
      </c>
      <c r="P13" t="s">
        <v>31</v>
      </c>
      <c r="Q13" t="s">
        <v>47</v>
      </c>
      <c r="R13">
        <v>173.5</v>
      </c>
    </row>
    <row r="14" spans="1:18" x14ac:dyDescent="0.3">
      <c r="A14" t="s">
        <v>101</v>
      </c>
      <c r="B14">
        <v>18052208</v>
      </c>
      <c r="C14" t="s">
        <v>55</v>
      </c>
      <c r="D14" t="s">
        <v>114</v>
      </c>
      <c r="E14" t="s">
        <v>115</v>
      </c>
      <c r="F14" t="s">
        <v>116</v>
      </c>
      <c r="G14" t="s">
        <v>117</v>
      </c>
      <c r="H14" t="s">
        <v>25</v>
      </c>
      <c r="I14" t="s">
        <v>106</v>
      </c>
      <c r="J14" t="s">
        <v>95</v>
      </c>
      <c r="L14" t="s">
        <v>29</v>
      </c>
      <c r="M14">
        <v>15</v>
      </c>
      <c r="O14">
        <v>0</v>
      </c>
      <c r="P14" t="s">
        <v>31</v>
      </c>
      <c r="Q14" t="s">
        <v>47</v>
      </c>
      <c r="R14">
        <v>173.5</v>
      </c>
    </row>
    <row r="15" spans="1:18" x14ac:dyDescent="0.3">
      <c r="A15" t="s">
        <v>101</v>
      </c>
      <c r="B15">
        <v>21041582</v>
      </c>
      <c r="C15" t="s">
        <v>118</v>
      </c>
      <c r="D15" t="s">
        <v>119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L15" t="s">
        <v>126</v>
      </c>
      <c r="M15">
        <v>2</v>
      </c>
      <c r="N15" t="s">
        <v>72</v>
      </c>
      <c r="O15">
        <v>2</v>
      </c>
      <c r="P15" t="s">
        <v>113</v>
      </c>
      <c r="Q15" t="s">
        <v>47</v>
      </c>
      <c r="R15">
        <v>28.91</v>
      </c>
    </row>
    <row r="16" spans="1:18" x14ac:dyDescent="0.3">
      <c r="A16" t="s">
        <v>101</v>
      </c>
      <c r="B16">
        <v>20446812</v>
      </c>
      <c r="C16" t="s">
        <v>67</v>
      </c>
      <c r="D16" t="s">
        <v>132</v>
      </c>
      <c r="E16" t="s">
        <v>133</v>
      </c>
      <c r="F16" t="s">
        <v>43</v>
      </c>
      <c r="G16" t="s">
        <v>134</v>
      </c>
      <c r="H16" t="s">
        <v>25</v>
      </c>
      <c r="I16" t="s">
        <v>135</v>
      </c>
      <c r="J16" t="s">
        <v>95</v>
      </c>
      <c r="L16" t="s">
        <v>29</v>
      </c>
      <c r="M16">
        <v>15</v>
      </c>
      <c r="O16">
        <v>0</v>
      </c>
      <c r="P16" t="s">
        <v>31</v>
      </c>
      <c r="Q16" t="s">
        <v>47</v>
      </c>
      <c r="R16">
        <v>173.5</v>
      </c>
    </row>
    <row r="17" spans="1:18" x14ac:dyDescent="0.3">
      <c r="A17" t="s">
        <v>101</v>
      </c>
      <c r="B17">
        <v>19832009</v>
      </c>
      <c r="C17" t="s">
        <v>40</v>
      </c>
      <c r="D17" t="s">
        <v>136</v>
      </c>
      <c r="E17" t="s">
        <v>137</v>
      </c>
      <c r="F17" t="s">
        <v>138</v>
      </c>
      <c r="G17" t="s">
        <v>139</v>
      </c>
      <c r="H17" t="s">
        <v>25</v>
      </c>
      <c r="I17" t="s">
        <v>140</v>
      </c>
      <c r="J17" t="s">
        <v>112</v>
      </c>
      <c r="L17" t="s">
        <v>39</v>
      </c>
      <c r="M17">
        <v>2</v>
      </c>
      <c r="N17" t="s">
        <v>72</v>
      </c>
      <c r="O17">
        <v>2</v>
      </c>
      <c r="P17" t="s">
        <v>113</v>
      </c>
      <c r="Q17" t="s">
        <v>47</v>
      </c>
      <c r="R17">
        <v>28.91</v>
      </c>
    </row>
    <row r="19" spans="1:18" x14ac:dyDescent="0.3">
      <c r="Q19" s="3" t="s">
        <v>150</v>
      </c>
      <c r="R19" s="4">
        <f>SUM(R2:R18)</f>
        <v>1561.5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4137-5612-465E-80C6-1E195D0A5FA0}">
  <dimension ref="A1:D6"/>
  <sheetViews>
    <sheetView workbookViewId="0">
      <selection activeCell="B6" sqref="B6"/>
    </sheetView>
  </sheetViews>
  <sheetFormatPr defaultRowHeight="14.4" x14ac:dyDescent="0.3"/>
  <cols>
    <col min="1" max="1" width="14.44140625" bestFit="1" customWidth="1"/>
    <col min="2" max="2" width="9" bestFit="1" customWidth="1"/>
    <col min="3" max="3" width="8.6640625" bestFit="1" customWidth="1"/>
    <col min="4" max="4" width="47.33203125" bestFit="1" customWidth="1"/>
  </cols>
  <sheetData>
    <row r="1" spans="1:4" x14ac:dyDescent="0.3">
      <c r="A1" t="s">
        <v>141</v>
      </c>
      <c r="B1" t="s">
        <v>142</v>
      </c>
      <c r="C1" t="s">
        <v>143</v>
      </c>
      <c r="D1" t="s">
        <v>144</v>
      </c>
    </row>
    <row r="2" spans="1:4" x14ac:dyDescent="0.3">
      <c r="A2" t="s">
        <v>40</v>
      </c>
      <c r="B2" t="s">
        <v>145</v>
      </c>
      <c r="C2" s="1">
        <v>-50</v>
      </c>
      <c r="D2" t="s">
        <v>146</v>
      </c>
    </row>
    <row r="3" spans="1:4" x14ac:dyDescent="0.3">
      <c r="A3" t="s">
        <v>40</v>
      </c>
      <c r="B3" t="s">
        <v>145</v>
      </c>
      <c r="C3" s="1">
        <v>-50</v>
      </c>
      <c r="D3" t="s">
        <v>147</v>
      </c>
    </row>
    <row r="4" spans="1:4" x14ac:dyDescent="0.3">
      <c r="A4" t="s">
        <v>67</v>
      </c>
      <c r="B4" t="s">
        <v>148</v>
      </c>
      <c r="C4" s="1">
        <v>-50</v>
      </c>
      <c r="D4" t="s">
        <v>149</v>
      </c>
    </row>
    <row r="6" spans="1:4" x14ac:dyDescent="0.3">
      <c r="B6" s="3" t="s">
        <v>150</v>
      </c>
      <c r="C6" s="2">
        <f>SUM(C2:C5)</f>
        <v>-150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AD5FB4E5-AFA0-4FE5-973D-1862DD9A10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91B1C8-78B1-47F8-97CB-0EF71220AB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46AD12-58E5-4F28-9255-87018526C5C9}">
  <ds:schemaRefs>
    <ds:schemaRef ds:uri="http://schemas.microsoft.com/office/2006/metadata/properties"/>
    <ds:schemaRef ds:uri="http://schemas.microsoft.com/office/infopath/2007/PartnerControls"/>
    <ds:schemaRef ds:uri="c9e34c40-85d7-4a92-b6d4-df4880ec1b71"/>
    <ds:schemaRef ds:uri="8518428f-1f77-48e7-80e9-5a509a5ea7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</vt:lpstr>
      <vt:lpstr>Override </vt:lpstr>
      <vt:lpstr>Agent Portion</vt:lpstr>
      <vt:lpstr>HRA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Perkins</dc:creator>
  <cp:lastModifiedBy>Serena Mullins</cp:lastModifiedBy>
  <dcterms:created xsi:type="dcterms:W3CDTF">2026-07-10T18:14:45Z</dcterms:created>
  <dcterms:modified xsi:type="dcterms:W3CDTF">2026-07-27T18:36:44Z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  <property fmtid="{D5CDD505-2E9C-101B-9397-08002B2CF9AE}" pid="3" name="MediaServiceImageTags">
    <vt:lpwstr/>
  </property>
</Properties>
</file>