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ownloads\"/>
    </mc:Choice>
  </mc:AlternateContent>
  <xr:revisionPtr revIDLastSave="0" documentId="13_ncr:1_{3EECCA32-EC75-4467-A5D8-732C19C4AB86}" xr6:coauthVersionLast="47" xr6:coauthVersionMax="47" xr10:uidLastSave="{00000000-0000-0000-0000-000000000000}"/>
  <bookViews>
    <workbookView xWindow="-98" yWindow="-98" windowWidth="20715" windowHeight="13515" activeTab="2" xr2:uid="{A41BBEE0-C170-4FF9-9965-33E678FFAD2C}"/>
  </bookViews>
  <sheets>
    <sheet name="Totals" sheetId="4" r:id="rId1"/>
    <sheet name="Override" sheetId="1" r:id="rId2"/>
    <sheet name="Agent Portion" sheetId="3" r:id="rId3"/>
    <sheet name="HRA" sheetId="5" r:id="rId4"/>
  </sheets>
  <definedNames>
    <definedName name="_xlnm._FilterDatabase" localSheetId="2" hidden="1">'Agent Portion'!$A$1:$N$35</definedName>
    <definedName name="_xlnm._FilterDatabase" localSheetId="1" hidden="1">Override!$A$1:$R$35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16" i="5"/>
  <c r="R37" i="1"/>
</calcChain>
</file>

<file path=xl/sharedStrings.xml><?xml version="1.0" encoding="utf-8"?>
<sst xmlns="http://schemas.openxmlformats.org/spreadsheetml/2006/main" count="833" uniqueCount="243">
  <si>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</si>
  <si>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</si>
  <si>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</si>
  <si>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</si>
  <si>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</si>
  <si>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</si>
  <si>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</si>
  <si>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</si>
  <si>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</si>
  <si>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</si>
  <si>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</si>
  <si>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</si>
  <si>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</si>
  <si>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</si>
  <si>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</si>
  <si>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</si>
  <si>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</si>
  <si>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</si>
  <si>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</si>
  <si>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03/06/2026</t>
  </si>
  <si>
    <t>Justin Basinger</t>
  </si>
  <si>
    <t>D6UR75</t>
  </si>
  <si>
    <t>1HT7UG6NG60</t>
  </si>
  <si>
    <t>EVELYN</t>
  </si>
  <si>
    <t>BELCHER</t>
  </si>
  <si>
    <t>NC</t>
  </si>
  <si>
    <t>12/06/2025</t>
  </si>
  <si>
    <t>01/01/2026</t>
  </si>
  <si>
    <t>02/28/2026</t>
  </si>
  <si>
    <t>H9700</t>
  </si>
  <si>
    <t>MAPD</t>
  </si>
  <si>
    <t>Initial - Not New</t>
  </si>
  <si>
    <t>Jan</t>
  </si>
  <si>
    <t>Brian Freeman</t>
  </si>
  <si>
    <t>DFF8W9</t>
  </si>
  <si>
    <t>9AE1WH8GV18</t>
  </si>
  <si>
    <t>WILLIE</t>
  </si>
  <si>
    <t>DOUGLAS JR</t>
  </si>
  <si>
    <t>11/13/2025</t>
  </si>
  <si>
    <t>H5299</t>
  </si>
  <si>
    <t>DH83F4</t>
  </si>
  <si>
    <t>5AK6FK0FN57</t>
  </si>
  <si>
    <t>PATRICIA</t>
  </si>
  <si>
    <t>HUNSUCKER</t>
  </si>
  <si>
    <t>10/22/2025</t>
  </si>
  <si>
    <t>Michael Lauzurique</t>
  </si>
  <si>
    <t>DAC8YG</t>
  </si>
  <si>
    <t>3W93H82JK06</t>
  </si>
  <si>
    <t>JIMMY</t>
  </si>
  <si>
    <t>CHAMBERS</t>
  </si>
  <si>
    <t>02/03/2026</t>
  </si>
  <si>
    <t>03/01/2026</t>
  </si>
  <si>
    <t>Feb</t>
  </si>
  <si>
    <t>Christopher Foster</t>
  </si>
  <si>
    <t>DU9HFW</t>
  </si>
  <si>
    <t>8QY8H38WC29</t>
  </si>
  <si>
    <t>SHANNON</t>
  </si>
  <si>
    <t>EUDY</t>
  </si>
  <si>
    <t>02/20/2026</t>
  </si>
  <si>
    <t>Mar</t>
  </si>
  <si>
    <t>DASAFF</t>
  </si>
  <si>
    <t>7U12UU6EM19</t>
  </si>
  <si>
    <t>CARRIE</t>
  </si>
  <si>
    <t>JOHNSON</t>
  </si>
  <si>
    <t>02/19/2026</t>
  </si>
  <si>
    <t>Rebekah Long</t>
  </si>
  <si>
    <t>D2UUR3</t>
  </si>
  <si>
    <t>5TN0RJ3FM28</t>
  </si>
  <si>
    <t>SYDNIE</t>
  </si>
  <si>
    <t>MALICK</t>
  </si>
  <si>
    <t>DE9YU8</t>
  </si>
  <si>
    <t>6VK4RN6VJ64</t>
  </si>
  <si>
    <t>THELMA</t>
  </si>
  <si>
    <t>MARTINEZ</t>
  </si>
  <si>
    <t>02/18/2026</t>
  </si>
  <si>
    <t>03/13/2026</t>
  </si>
  <si>
    <t>DCCRUW</t>
  </si>
  <si>
    <t>1RC1H92EH26</t>
  </si>
  <si>
    <t>DIANN</t>
  </si>
  <si>
    <t>BEDSAUL BARNETT</t>
  </si>
  <si>
    <t>11/04/2025</t>
  </si>
  <si>
    <t>03/31/2026</t>
  </si>
  <si>
    <t>D7R5GY</t>
  </si>
  <si>
    <t>5QV6UJ7TN55</t>
  </si>
  <si>
    <t>MELANY</t>
  </si>
  <si>
    <t>KNIGHT</t>
  </si>
  <si>
    <t>12/05/2025</t>
  </si>
  <si>
    <t>Betty Riddle Marlowe</t>
  </si>
  <si>
    <t>DR6EHH</t>
  </si>
  <si>
    <t>RICHARD</t>
  </si>
  <si>
    <t>LIPKE</t>
  </si>
  <si>
    <t>NONE</t>
  </si>
  <si>
    <t>Initial - New</t>
  </si>
  <si>
    <t>PDP</t>
  </si>
  <si>
    <t>DY289K</t>
  </si>
  <si>
    <t>2PT3TJ9TA73</t>
  </si>
  <si>
    <t>LEROY</t>
  </si>
  <si>
    <t>CHASTAIN</t>
  </si>
  <si>
    <t>02/25/2026</t>
  </si>
  <si>
    <t>D853YW</t>
  </si>
  <si>
    <t>6U18EH4GP31</t>
  </si>
  <si>
    <t>MYRTLE</t>
  </si>
  <si>
    <t>CORRIHER</t>
  </si>
  <si>
    <t>02/23/2026</t>
  </si>
  <si>
    <t>D8Y3JY</t>
  </si>
  <si>
    <t>9T86WY1CY85</t>
  </si>
  <si>
    <t>NEELY</t>
  </si>
  <si>
    <t>CRAWFORD</t>
  </si>
  <si>
    <t>02/27/2026</t>
  </si>
  <si>
    <t>D42WS6</t>
  </si>
  <si>
    <t>4NH3C51FW72</t>
  </si>
  <si>
    <t>PAULA</t>
  </si>
  <si>
    <t>HODGES</t>
  </si>
  <si>
    <t>DCF88C</t>
  </si>
  <si>
    <t>4J52HR8UG99</t>
  </si>
  <si>
    <t>SHERRI</t>
  </si>
  <si>
    <t>HOWARD</t>
  </si>
  <si>
    <t>D3ZGGU</t>
  </si>
  <si>
    <t>4J77YH7YJ43</t>
  </si>
  <si>
    <t>ELAINE</t>
  </si>
  <si>
    <t>JACKSON</t>
  </si>
  <si>
    <t>DHG39R</t>
  </si>
  <si>
    <t>2AK8YA1QM36</t>
  </si>
  <si>
    <t>KIMBERLY</t>
  </si>
  <si>
    <t>MOORE</t>
  </si>
  <si>
    <t>DRAF2E</t>
  </si>
  <si>
    <t>4N00NU4TE02</t>
  </si>
  <si>
    <t>BENNIE</t>
  </si>
  <si>
    <t>POOLE</t>
  </si>
  <si>
    <t>02/26/2026</t>
  </si>
  <si>
    <t>03/20/2026</t>
  </si>
  <si>
    <t>DJH6ZR</t>
  </si>
  <si>
    <t>8YG5A76FD76</t>
  </si>
  <si>
    <t>BARBARA</t>
  </si>
  <si>
    <t>LENTZ</t>
  </si>
  <si>
    <t>11/10/2025</t>
  </si>
  <si>
    <t>DAE747</t>
  </si>
  <si>
    <t>4VY8FA4YA67</t>
  </si>
  <si>
    <t>MICHAEL</t>
  </si>
  <si>
    <t>COE</t>
  </si>
  <si>
    <t>03/02/2026</t>
  </si>
  <si>
    <t>04/01/2026</t>
  </si>
  <si>
    <t>D6YJZ8</t>
  </si>
  <si>
    <t>6KP4UK7TM99</t>
  </si>
  <si>
    <t>RANDY</t>
  </si>
  <si>
    <t>DOUGLAS</t>
  </si>
  <si>
    <t>DA324Y</t>
  </si>
  <si>
    <t>6G86JF2GM46</t>
  </si>
  <si>
    <t>CHRISTDEONA</t>
  </si>
  <si>
    <t>SHERMAN</t>
  </si>
  <si>
    <t>03/05/2026</t>
  </si>
  <si>
    <t>Timothy Winslow</t>
  </si>
  <si>
    <t>D38KJU</t>
  </si>
  <si>
    <t>8KK8GM4WU42</t>
  </si>
  <si>
    <t>KAREN</t>
  </si>
  <si>
    <t>WINSLOW</t>
  </si>
  <si>
    <t>03/27/2026</t>
  </si>
  <si>
    <t>DKY56H</t>
  </si>
  <si>
    <t>1CT6G86AQ55</t>
  </si>
  <si>
    <t>HENRY</t>
  </si>
  <si>
    <t>HOOVER</t>
  </si>
  <si>
    <t>11/17/2025</t>
  </si>
  <si>
    <t>DW4GG8</t>
  </si>
  <si>
    <t>4F44K17DU80</t>
  </si>
  <si>
    <t>ROSHEA</t>
  </si>
  <si>
    <t>11/19/2025</t>
  </si>
  <si>
    <t>D7C76G</t>
  </si>
  <si>
    <t>8VC0TN6QY09</t>
  </si>
  <si>
    <t>NANCY</t>
  </si>
  <si>
    <t>WIGGINS</t>
  </si>
  <si>
    <t>DAH887</t>
  </si>
  <si>
    <t>7QY9GM5CA40</t>
  </si>
  <si>
    <t>MICHELLE</t>
  </si>
  <si>
    <t>BROADWAY</t>
  </si>
  <si>
    <t>11/06/2025</t>
  </si>
  <si>
    <t>12/01/2025</t>
  </si>
  <si>
    <t>Renewal - Monthly</t>
  </si>
  <si>
    <t>Anjana Patel</t>
  </si>
  <si>
    <t>DHUZ3F</t>
  </si>
  <si>
    <t>TRACY</t>
  </si>
  <si>
    <t>HAYDEN</t>
  </si>
  <si>
    <t>09/01/2025</t>
  </si>
  <si>
    <t>H7028</t>
  </si>
  <si>
    <t>DA7FSE</t>
  </si>
  <si>
    <t>9VT5NH2NG58</t>
  </si>
  <si>
    <t>WILLIAM</t>
  </si>
  <si>
    <t>LOWERY</t>
  </si>
  <si>
    <t>03/07/2026</t>
  </si>
  <si>
    <t>06/01/2026</t>
  </si>
  <si>
    <t>DJ7H66</t>
  </si>
  <si>
    <t>3Y62E25HQ07</t>
  </si>
  <si>
    <t>DUANE</t>
  </si>
  <si>
    <t>MANN</t>
  </si>
  <si>
    <t>03/12/2026</t>
  </si>
  <si>
    <t>DHEWJA</t>
  </si>
  <si>
    <t>4J80G63HR39</t>
  </si>
  <si>
    <t>THERESA</t>
  </si>
  <si>
    <t>MCINTYRE</t>
  </si>
  <si>
    <t>DK78G2</t>
  </si>
  <si>
    <t>4VU3NP7XP85</t>
  </si>
  <si>
    <t>THEA</t>
  </si>
  <si>
    <t>PFEIFER</t>
  </si>
  <si>
    <t>03/11/2026</t>
  </si>
  <si>
    <t>05/01/2026</t>
  </si>
  <si>
    <t>D3KFRK</t>
  </si>
  <si>
    <t>5DP7DC3WF54</t>
  </si>
  <si>
    <t>MARSHA</t>
  </si>
  <si>
    <t>RITENOUR</t>
  </si>
  <si>
    <t>DAUU67</t>
  </si>
  <si>
    <t>6VT3RT2FM11</t>
  </si>
  <si>
    <t>BOBBY</t>
  </si>
  <si>
    <t>SMITH</t>
  </si>
  <si>
    <t>11/21/2025</t>
  </si>
  <si>
    <t>DYCS78</t>
  </si>
  <si>
    <t>8JD7NU5WA31</t>
  </si>
  <si>
    <t>ALAN</t>
  </si>
  <si>
    <t>WATTS</t>
  </si>
  <si>
    <t>11/01/2025</t>
  </si>
  <si>
    <t>19832009</t>
  </si>
  <si>
    <t>20392239</t>
  </si>
  <si>
    <t>20446812</t>
  </si>
  <si>
    <t>18052208</t>
  </si>
  <si>
    <t>HRA for member Michael knight DRJS2R (NC)</t>
  </si>
  <si>
    <t>Note</t>
  </si>
  <si>
    <t>Amount</t>
  </si>
  <si>
    <t>Rep ID</t>
  </si>
  <si>
    <t>Rep Name</t>
  </si>
  <si>
    <t xml:space="preserve">Total: </t>
  </si>
  <si>
    <t>HRA for member Kimberly Moore DHG39R (NC)</t>
  </si>
  <si>
    <t>HRA for member Thelma Martinez DE9YU8 (NC)</t>
  </si>
  <si>
    <t>HRA for member Carrie Johnson DASAFF (NC)</t>
  </si>
  <si>
    <t>HRA for member Starr Hughes D3A8WJ (NC)</t>
  </si>
  <si>
    <t>HRA for member Sherri Howard DCF88C (NC)</t>
  </si>
  <si>
    <t>HRA for member PAULA HODGES D42WS6 (NC)</t>
  </si>
  <si>
    <t>HRA for member Shannon Eudy DU9HFW (NC)</t>
  </si>
  <si>
    <t>HRA for member Randy Douglas D6YJZ8 (NC)</t>
  </si>
  <si>
    <t>HRA for member Sarah Davis DGGKHA (NC)</t>
  </si>
  <si>
    <t>HRA for member Neely Crawford D8Y3JY (NC)</t>
  </si>
  <si>
    <t>HRA for member Myrtle Corriher D853YW (NC)</t>
  </si>
  <si>
    <t>HRA for member LEROY CHASTAIN DY289K (NC)</t>
  </si>
  <si>
    <t>Override</t>
  </si>
  <si>
    <t>Agent Portion</t>
  </si>
  <si>
    <t>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</si>
</sst>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4" fontId="2" fillId="0" borderId="0" xfId="1" applyFont="1"/>
    <xf numFmtId="8" fontId="0" fillId="0" borderId="0" xfId="0" applyNumberFormat="1"/>
    <xf numFmtId="8" fontId="2" fillId="0" borderId="0" xfId="0" applyNumberFormat="1" applyFont="1"/>
    <xf numFmtId="44" fontId="0" fillId="0" borderId="0" xfId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2836-BE56-434C-9A05-9FEB2AC01007}">
  <dimension ref="A1:B5"/>
  <sheetViews>
    <sheetView workbookViewId="0">
      <selection activeCell="B11" sqref="B11"/>
    </sheetView>
  </sheetViews>
  <sheetFormatPr defaultRowHeight="14.25" x14ac:dyDescent="0.45"/>
  <cols>
    <col min="1" max="1" width="11.6640625" bestFit="1" customWidth="1"/>
    <col min="2" max="2" width="10.19921875" style="5" bestFit="1" customWidth="1"/>
  </cols>
  <sheetData>
    <row r="1" spans="1:2" x14ac:dyDescent="0.45">
      <c r="A1" t="s">
        <v>240</v>
      </c>
      <c r="B1" s="5">
        <v>1671.25</v>
      </c>
    </row>
    <row r="2" spans="1:2" x14ac:dyDescent="0.45">
      <c r="A2" t="s">
        <v>241</v>
      </c>
      <c r="B2" s="5">
        <v>4510.95</v>
      </c>
    </row>
    <row r="3" spans="1:2" x14ac:dyDescent="0.45">
      <c r="A3" t="s">
        <v>242</v>
      </c>
      <c r="B3" s="5">
        <v>650</v>
      </c>
    </row>
    <row r="5" spans="1:2" x14ac:dyDescent="0.45">
      <c r="A5" s="1" t="s">
        <v>227</v>
      </c>
      <c r="B5" s="2">
        <f>SUM(B1:B4)</f>
        <v>6832.2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D792-57DE-4195-A989-480DA9E1F891}">
  <dimension ref="A1:R37"/>
  <sheetViews>
    <sheetView topLeftCell="G17" workbookViewId="0">
      <selection activeCell="R37" sqref="R37"/>
    </sheetView>
  </sheetViews>
  <sheetFormatPr defaultRowHeight="14.25" x14ac:dyDescent="0.45"/>
  <cols>
    <col min="1" max="1" width="13.46484375" bestFit="1" customWidth="1"/>
    <col min="2" max="2" width="9.6640625" bestFit="1" customWidth="1"/>
    <col min="3" max="3" width="17.796875" bestFit="1" customWidth="1"/>
    <col min="4" max="4" width="9.6640625" bestFit="1" customWidth="1"/>
    <col min="5" max="5" width="13.796875" bestFit="1" customWidth="1"/>
    <col min="6" max="6" width="13.1328125" bestFit="1" customWidth="1"/>
    <col min="7" max="7" width="16.46484375" bestFit="1" customWidth="1"/>
    <col min="8" max="8" width="12.1328125" bestFit="1" customWidth="1"/>
    <col min="9" max="9" width="12.6640625" bestFit="1" customWidth="1"/>
    <col min="10" max="10" width="12" bestFit="1" customWidth="1"/>
    <col min="11" max="11" width="12.19921875" bestFit="1" customWidth="1"/>
    <col min="12" max="12" width="8" bestFit="1" customWidth="1"/>
    <col min="13" max="13" width="4.33203125" bestFit="1" customWidth="1"/>
    <col min="14" max="14" width="12.796875" bestFit="1" customWidth="1"/>
    <col min="15" max="15" width="13.53125" bestFit="1" customWidth="1"/>
    <col min="16" max="16" width="15.53125" bestFit="1" customWidth="1"/>
    <col min="17" max="17" width="6.19921875" bestFit="1" customWidth="1"/>
    <col min="18" max="18" width="12.6640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</row>
    <row r="2" spans="1:18" x14ac:dyDescent="0.45">
      <c r="A2" t="s">
        <v>19</v>
      </c>
      <c r="B2">
        <v>20446812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</v>
      </c>
      <c r="N2" t="s">
        <v>30</v>
      </c>
      <c r="O2">
        <v>5</v>
      </c>
      <c r="P2" t="s">
        <v>31</v>
      </c>
      <c r="Q2" t="s">
        <v>32</v>
      </c>
      <c r="R2">
        <v>-125</v>
      </c>
    </row>
    <row r="3" spans="1:18" x14ac:dyDescent="0.45">
      <c r="A3" t="s">
        <v>19</v>
      </c>
      <c r="B3">
        <v>19832009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25</v>
      </c>
      <c r="I3" t="s">
        <v>38</v>
      </c>
      <c r="J3" t="s">
        <v>27</v>
      </c>
      <c r="L3" t="s">
        <v>39</v>
      </c>
      <c r="M3">
        <v>16</v>
      </c>
      <c r="N3" t="s">
        <v>30</v>
      </c>
      <c r="O3">
        <v>5</v>
      </c>
      <c r="P3" t="s">
        <v>31</v>
      </c>
      <c r="Q3" t="s">
        <v>32</v>
      </c>
      <c r="R3">
        <v>125</v>
      </c>
    </row>
    <row r="4" spans="1:18" x14ac:dyDescent="0.45">
      <c r="A4" t="s">
        <v>19</v>
      </c>
      <c r="B4">
        <v>19832009</v>
      </c>
      <c r="C4" t="s">
        <v>33</v>
      </c>
      <c r="D4" t="s">
        <v>40</v>
      </c>
      <c r="E4" t="s">
        <v>41</v>
      </c>
      <c r="F4" t="s">
        <v>42</v>
      </c>
      <c r="G4" t="s">
        <v>43</v>
      </c>
      <c r="H4" t="s">
        <v>25</v>
      </c>
      <c r="I4" t="s">
        <v>44</v>
      </c>
      <c r="J4" t="s">
        <v>27</v>
      </c>
      <c r="K4" t="s">
        <v>28</v>
      </c>
      <c r="L4" t="s">
        <v>39</v>
      </c>
      <c r="M4">
        <v>16</v>
      </c>
      <c r="N4" t="s">
        <v>30</v>
      </c>
      <c r="O4">
        <v>5</v>
      </c>
      <c r="P4" t="s">
        <v>31</v>
      </c>
      <c r="Q4" t="s">
        <v>32</v>
      </c>
      <c r="R4">
        <v>-125</v>
      </c>
    </row>
    <row r="5" spans="1:18" x14ac:dyDescent="0.45">
      <c r="A5" t="s">
        <v>19</v>
      </c>
      <c r="B5">
        <v>18052208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25</v>
      </c>
      <c r="I5" t="s">
        <v>50</v>
      </c>
      <c r="J5" t="s">
        <v>51</v>
      </c>
      <c r="L5" t="s">
        <v>29</v>
      </c>
      <c r="M5">
        <v>2</v>
      </c>
      <c r="O5">
        <v>0</v>
      </c>
      <c r="P5" t="s">
        <v>31</v>
      </c>
      <c r="Q5" t="s">
        <v>52</v>
      </c>
      <c r="R5">
        <v>-125</v>
      </c>
    </row>
    <row r="6" spans="1:18" x14ac:dyDescent="0.45">
      <c r="A6" t="s">
        <v>19</v>
      </c>
      <c r="B6">
        <v>20392239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25</v>
      </c>
      <c r="I6" t="s">
        <v>58</v>
      </c>
      <c r="J6" t="s">
        <v>51</v>
      </c>
      <c r="L6" t="s">
        <v>39</v>
      </c>
      <c r="M6">
        <v>16</v>
      </c>
      <c r="O6">
        <v>0</v>
      </c>
      <c r="P6" t="s">
        <v>31</v>
      </c>
      <c r="Q6" t="s">
        <v>59</v>
      </c>
      <c r="R6">
        <v>125</v>
      </c>
    </row>
    <row r="7" spans="1:18" x14ac:dyDescent="0.45">
      <c r="A7" t="s">
        <v>19</v>
      </c>
      <c r="B7">
        <v>18052208</v>
      </c>
      <c r="C7" t="s">
        <v>45</v>
      </c>
      <c r="D7" t="s">
        <v>60</v>
      </c>
      <c r="E7" t="s">
        <v>61</v>
      </c>
      <c r="F7" t="s">
        <v>62</v>
      </c>
      <c r="G7" t="s">
        <v>63</v>
      </c>
      <c r="H7" t="s">
        <v>25</v>
      </c>
      <c r="I7" t="s">
        <v>64</v>
      </c>
      <c r="J7" t="s">
        <v>51</v>
      </c>
      <c r="L7" t="s">
        <v>39</v>
      </c>
      <c r="M7">
        <v>15</v>
      </c>
      <c r="O7">
        <v>0</v>
      </c>
      <c r="P7" t="s">
        <v>31</v>
      </c>
      <c r="Q7" t="s">
        <v>59</v>
      </c>
      <c r="R7">
        <v>125</v>
      </c>
    </row>
    <row r="8" spans="1:18" x14ac:dyDescent="0.45">
      <c r="A8" t="s">
        <v>19</v>
      </c>
      <c r="B8">
        <v>20182775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25</v>
      </c>
      <c r="I8" t="s">
        <v>64</v>
      </c>
      <c r="J8" t="s">
        <v>51</v>
      </c>
      <c r="L8" t="s">
        <v>29</v>
      </c>
      <c r="M8">
        <v>2</v>
      </c>
      <c r="O8">
        <v>0</v>
      </c>
      <c r="P8" t="s">
        <v>31</v>
      </c>
      <c r="Q8" t="s">
        <v>59</v>
      </c>
      <c r="R8">
        <v>125</v>
      </c>
    </row>
    <row r="9" spans="1:18" x14ac:dyDescent="0.45">
      <c r="A9" t="s">
        <v>19</v>
      </c>
      <c r="B9">
        <v>18052208</v>
      </c>
      <c r="C9" t="s">
        <v>45</v>
      </c>
      <c r="D9" t="s">
        <v>70</v>
      </c>
      <c r="E9" t="s">
        <v>71</v>
      </c>
      <c r="F9" t="s">
        <v>72</v>
      </c>
      <c r="G9" t="s">
        <v>73</v>
      </c>
      <c r="H9" t="s">
        <v>25</v>
      </c>
      <c r="I9" t="s">
        <v>74</v>
      </c>
      <c r="J9" t="s">
        <v>51</v>
      </c>
      <c r="L9" t="s">
        <v>39</v>
      </c>
      <c r="M9">
        <v>15</v>
      </c>
      <c r="O9">
        <v>0</v>
      </c>
      <c r="P9" t="s">
        <v>31</v>
      </c>
      <c r="Q9" t="s">
        <v>59</v>
      </c>
      <c r="R9">
        <v>125</v>
      </c>
    </row>
    <row r="10" spans="1:18" x14ac:dyDescent="0.45">
      <c r="A10" t="s">
        <v>75</v>
      </c>
      <c r="B10">
        <v>20392239</v>
      </c>
      <c r="C10" t="s">
        <v>53</v>
      </c>
      <c r="D10" t="s">
        <v>76</v>
      </c>
      <c r="E10" t="s">
        <v>77</v>
      </c>
      <c r="F10" t="s">
        <v>78</v>
      </c>
      <c r="G10" t="s">
        <v>79</v>
      </c>
      <c r="H10" t="s">
        <v>25</v>
      </c>
      <c r="I10" t="s">
        <v>80</v>
      </c>
      <c r="J10" t="s">
        <v>27</v>
      </c>
      <c r="K10" t="s">
        <v>81</v>
      </c>
      <c r="L10" t="s">
        <v>29</v>
      </c>
      <c r="M10">
        <v>1</v>
      </c>
      <c r="N10" t="s">
        <v>30</v>
      </c>
      <c r="O10">
        <v>4</v>
      </c>
      <c r="P10" t="s">
        <v>31</v>
      </c>
      <c r="Q10" t="s">
        <v>32</v>
      </c>
      <c r="R10">
        <v>-125</v>
      </c>
    </row>
    <row r="11" spans="1:18" x14ac:dyDescent="0.45">
      <c r="A11" t="s">
        <v>75</v>
      </c>
      <c r="B11">
        <v>18052208</v>
      </c>
      <c r="C11" t="s">
        <v>45</v>
      </c>
      <c r="D11" t="s">
        <v>82</v>
      </c>
      <c r="E11" t="s">
        <v>83</v>
      </c>
      <c r="F11" t="s">
        <v>84</v>
      </c>
      <c r="G11" t="s">
        <v>85</v>
      </c>
      <c r="H11" t="s">
        <v>25</v>
      </c>
      <c r="I11" t="s">
        <v>86</v>
      </c>
      <c r="J11" t="s">
        <v>27</v>
      </c>
      <c r="K11" t="s">
        <v>28</v>
      </c>
      <c r="L11" t="s">
        <v>39</v>
      </c>
      <c r="M11">
        <v>16</v>
      </c>
      <c r="N11" t="s">
        <v>30</v>
      </c>
      <c r="O11">
        <v>2</v>
      </c>
      <c r="P11" t="s">
        <v>31</v>
      </c>
      <c r="Q11" t="s">
        <v>32</v>
      </c>
      <c r="R11">
        <v>-125</v>
      </c>
    </row>
    <row r="12" spans="1:18" x14ac:dyDescent="0.45">
      <c r="A12" t="s">
        <v>75</v>
      </c>
      <c r="B12">
        <v>18052208</v>
      </c>
      <c r="C12" t="s">
        <v>45</v>
      </c>
      <c r="D12" t="s">
        <v>94</v>
      </c>
      <c r="E12" t="s">
        <v>95</v>
      </c>
      <c r="F12" t="s">
        <v>96</v>
      </c>
      <c r="G12" t="s">
        <v>97</v>
      </c>
      <c r="H12" t="s">
        <v>25</v>
      </c>
      <c r="I12" t="s">
        <v>98</v>
      </c>
      <c r="J12" t="s">
        <v>51</v>
      </c>
      <c r="L12" t="s">
        <v>39</v>
      </c>
      <c r="M12">
        <v>12</v>
      </c>
      <c r="N12" t="s">
        <v>91</v>
      </c>
      <c r="O12">
        <v>1</v>
      </c>
      <c r="P12" t="s">
        <v>92</v>
      </c>
      <c r="Q12" t="s">
        <v>59</v>
      </c>
      <c r="R12">
        <v>125</v>
      </c>
    </row>
    <row r="13" spans="1:18" x14ac:dyDescent="0.45">
      <c r="A13" t="s">
        <v>75</v>
      </c>
      <c r="B13">
        <v>20446812</v>
      </c>
      <c r="C13" t="s">
        <v>20</v>
      </c>
      <c r="D13" t="s">
        <v>99</v>
      </c>
      <c r="E13" t="s">
        <v>100</v>
      </c>
      <c r="F13" t="s">
        <v>101</v>
      </c>
      <c r="G13" t="s">
        <v>102</v>
      </c>
      <c r="H13" t="s">
        <v>25</v>
      </c>
      <c r="I13" t="s">
        <v>103</v>
      </c>
      <c r="J13" t="s">
        <v>51</v>
      </c>
      <c r="L13" t="s">
        <v>39</v>
      </c>
      <c r="M13">
        <v>16</v>
      </c>
      <c r="N13" t="s">
        <v>30</v>
      </c>
      <c r="O13">
        <v>8</v>
      </c>
      <c r="P13" t="s">
        <v>31</v>
      </c>
      <c r="Q13" t="s">
        <v>59</v>
      </c>
      <c r="R13">
        <v>125</v>
      </c>
    </row>
    <row r="14" spans="1:18" x14ac:dyDescent="0.45">
      <c r="A14" t="s">
        <v>75</v>
      </c>
      <c r="B14">
        <v>20446812</v>
      </c>
      <c r="C14" t="s">
        <v>20</v>
      </c>
      <c r="D14" t="s">
        <v>104</v>
      </c>
      <c r="E14" t="s">
        <v>105</v>
      </c>
      <c r="F14" t="s">
        <v>106</v>
      </c>
      <c r="G14" t="s">
        <v>107</v>
      </c>
      <c r="H14" t="s">
        <v>25</v>
      </c>
      <c r="I14" t="s">
        <v>108</v>
      </c>
      <c r="J14" t="s">
        <v>51</v>
      </c>
      <c r="L14" t="s">
        <v>29</v>
      </c>
      <c r="M14">
        <v>1</v>
      </c>
      <c r="N14" t="s">
        <v>30</v>
      </c>
      <c r="O14">
        <v>3</v>
      </c>
      <c r="P14" t="s">
        <v>31</v>
      </c>
      <c r="Q14" t="s">
        <v>59</v>
      </c>
      <c r="R14">
        <v>125</v>
      </c>
    </row>
    <row r="15" spans="1:18" x14ac:dyDescent="0.45">
      <c r="A15" t="s">
        <v>75</v>
      </c>
      <c r="B15">
        <v>19832009</v>
      </c>
      <c r="C15" t="s">
        <v>33</v>
      </c>
      <c r="D15" t="s">
        <v>109</v>
      </c>
      <c r="E15" t="s">
        <v>110</v>
      </c>
      <c r="F15" t="s">
        <v>111</v>
      </c>
      <c r="G15" t="s">
        <v>112</v>
      </c>
      <c r="H15" t="s">
        <v>25</v>
      </c>
      <c r="I15" t="s">
        <v>98</v>
      </c>
      <c r="J15" t="s">
        <v>51</v>
      </c>
      <c r="L15" t="s">
        <v>29</v>
      </c>
      <c r="M15">
        <v>1</v>
      </c>
      <c r="N15" t="s">
        <v>30</v>
      </c>
      <c r="O15">
        <v>2</v>
      </c>
      <c r="P15" t="s">
        <v>31</v>
      </c>
      <c r="Q15" t="s">
        <v>59</v>
      </c>
      <c r="R15">
        <v>125</v>
      </c>
    </row>
    <row r="16" spans="1:18" x14ac:dyDescent="0.45">
      <c r="A16" t="s">
        <v>75</v>
      </c>
      <c r="B16">
        <v>20446812</v>
      </c>
      <c r="C16" t="s">
        <v>20</v>
      </c>
      <c r="D16" t="s">
        <v>113</v>
      </c>
      <c r="E16" t="s">
        <v>114</v>
      </c>
      <c r="F16" t="s">
        <v>115</v>
      </c>
      <c r="G16" t="s">
        <v>116</v>
      </c>
      <c r="H16" t="s">
        <v>25</v>
      </c>
      <c r="I16" t="s">
        <v>108</v>
      </c>
      <c r="J16" t="s">
        <v>51</v>
      </c>
      <c r="L16" t="s">
        <v>39</v>
      </c>
      <c r="M16">
        <v>16</v>
      </c>
      <c r="O16">
        <v>0</v>
      </c>
      <c r="P16" t="s">
        <v>31</v>
      </c>
      <c r="Q16" t="s">
        <v>59</v>
      </c>
      <c r="R16">
        <v>125</v>
      </c>
    </row>
    <row r="17" spans="1:18" x14ac:dyDescent="0.45">
      <c r="A17" t="s">
        <v>75</v>
      </c>
      <c r="B17">
        <v>20182775</v>
      </c>
      <c r="C17" t="s">
        <v>65</v>
      </c>
      <c r="D17" t="s">
        <v>117</v>
      </c>
      <c r="E17" t="s">
        <v>118</v>
      </c>
      <c r="F17" t="s">
        <v>119</v>
      </c>
      <c r="G17" t="s">
        <v>120</v>
      </c>
      <c r="H17" t="s">
        <v>25</v>
      </c>
      <c r="I17" t="s">
        <v>108</v>
      </c>
      <c r="J17" t="s">
        <v>51</v>
      </c>
      <c r="L17" t="s">
        <v>29</v>
      </c>
      <c r="M17">
        <v>1</v>
      </c>
      <c r="N17" t="s">
        <v>30</v>
      </c>
      <c r="O17">
        <v>7</v>
      </c>
      <c r="P17" t="s">
        <v>31</v>
      </c>
      <c r="Q17" t="s">
        <v>59</v>
      </c>
      <c r="R17">
        <v>125</v>
      </c>
    </row>
    <row r="18" spans="1:18" x14ac:dyDescent="0.45">
      <c r="A18" t="s">
        <v>75</v>
      </c>
      <c r="B18">
        <v>20446812</v>
      </c>
      <c r="C18" t="s">
        <v>20</v>
      </c>
      <c r="D18" t="s">
        <v>121</v>
      </c>
      <c r="E18" t="s">
        <v>122</v>
      </c>
      <c r="F18" t="s">
        <v>123</v>
      </c>
      <c r="G18" t="s">
        <v>124</v>
      </c>
      <c r="H18" t="s">
        <v>25</v>
      </c>
      <c r="I18" t="s">
        <v>103</v>
      </c>
      <c r="J18" t="s">
        <v>51</v>
      </c>
      <c r="L18" t="s">
        <v>29</v>
      </c>
      <c r="M18">
        <v>1</v>
      </c>
      <c r="N18" t="s">
        <v>91</v>
      </c>
      <c r="O18">
        <v>1</v>
      </c>
      <c r="P18" t="s">
        <v>92</v>
      </c>
      <c r="Q18" t="s">
        <v>59</v>
      </c>
      <c r="R18">
        <v>125</v>
      </c>
    </row>
    <row r="19" spans="1:18" x14ac:dyDescent="0.45">
      <c r="A19" t="s">
        <v>75</v>
      </c>
      <c r="B19">
        <v>18052208</v>
      </c>
      <c r="C19" t="s">
        <v>45</v>
      </c>
      <c r="D19" t="s">
        <v>125</v>
      </c>
      <c r="E19" t="s">
        <v>126</v>
      </c>
      <c r="F19" t="s">
        <v>127</v>
      </c>
      <c r="G19" t="s">
        <v>128</v>
      </c>
      <c r="H19" t="s">
        <v>25</v>
      </c>
      <c r="I19" t="s">
        <v>129</v>
      </c>
      <c r="J19" t="s">
        <v>51</v>
      </c>
      <c r="L19" t="s">
        <v>39</v>
      </c>
      <c r="M19">
        <v>12</v>
      </c>
      <c r="N19" t="s">
        <v>91</v>
      </c>
      <c r="O19">
        <v>1</v>
      </c>
      <c r="P19" t="s">
        <v>92</v>
      </c>
      <c r="Q19" t="s">
        <v>59</v>
      </c>
      <c r="R19">
        <v>125</v>
      </c>
    </row>
    <row r="20" spans="1:18" x14ac:dyDescent="0.45">
      <c r="A20" t="s">
        <v>130</v>
      </c>
      <c r="B20">
        <v>20392239</v>
      </c>
      <c r="C20" t="s">
        <v>53</v>
      </c>
      <c r="D20" t="s">
        <v>131</v>
      </c>
      <c r="E20" t="s">
        <v>132</v>
      </c>
      <c r="F20" t="s">
        <v>133</v>
      </c>
      <c r="G20" t="s">
        <v>134</v>
      </c>
      <c r="H20" t="s">
        <v>25</v>
      </c>
      <c r="I20" t="s">
        <v>135</v>
      </c>
      <c r="J20" t="s">
        <v>27</v>
      </c>
      <c r="K20" t="s">
        <v>81</v>
      </c>
      <c r="L20" t="s">
        <v>29</v>
      </c>
      <c r="M20">
        <v>1</v>
      </c>
      <c r="N20" t="s">
        <v>93</v>
      </c>
      <c r="O20">
        <v>1</v>
      </c>
      <c r="P20" t="s">
        <v>92</v>
      </c>
      <c r="Q20" t="s">
        <v>32</v>
      </c>
      <c r="R20">
        <v>-93.75</v>
      </c>
    </row>
    <row r="21" spans="1:18" x14ac:dyDescent="0.45">
      <c r="A21" t="s">
        <v>130</v>
      </c>
      <c r="B21">
        <v>20446812</v>
      </c>
      <c r="C21" t="s">
        <v>20</v>
      </c>
      <c r="D21" t="s">
        <v>136</v>
      </c>
      <c r="E21" t="s">
        <v>137</v>
      </c>
      <c r="F21" t="s">
        <v>138</v>
      </c>
      <c r="G21" t="s">
        <v>139</v>
      </c>
      <c r="H21" t="s">
        <v>25</v>
      </c>
      <c r="I21" t="s">
        <v>140</v>
      </c>
      <c r="J21" t="s">
        <v>141</v>
      </c>
      <c r="L21" t="s">
        <v>39</v>
      </c>
      <c r="M21">
        <v>16</v>
      </c>
      <c r="O21">
        <v>0</v>
      </c>
      <c r="P21" t="s">
        <v>31</v>
      </c>
      <c r="Q21" t="s">
        <v>59</v>
      </c>
      <c r="R21">
        <v>125</v>
      </c>
    </row>
    <row r="22" spans="1:18" x14ac:dyDescent="0.45">
      <c r="A22" t="s">
        <v>130</v>
      </c>
      <c r="B22">
        <v>19832009</v>
      </c>
      <c r="C22" t="s">
        <v>33</v>
      </c>
      <c r="D22" t="s">
        <v>142</v>
      </c>
      <c r="E22" t="s">
        <v>143</v>
      </c>
      <c r="F22" t="s">
        <v>144</v>
      </c>
      <c r="G22" t="s">
        <v>145</v>
      </c>
      <c r="H22" t="s">
        <v>25</v>
      </c>
      <c r="I22" t="s">
        <v>28</v>
      </c>
      <c r="J22" t="s">
        <v>51</v>
      </c>
      <c r="L22" t="s">
        <v>29</v>
      </c>
      <c r="M22">
        <v>2</v>
      </c>
      <c r="N22" t="s">
        <v>91</v>
      </c>
      <c r="O22">
        <v>1</v>
      </c>
      <c r="P22" t="s">
        <v>92</v>
      </c>
      <c r="Q22" t="s">
        <v>59</v>
      </c>
      <c r="R22">
        <v>125</v>
      </c>
    </row>
    <row r="23" spans="1:18" x14ac:dyDescent="0.45">
      <c r="A23" t="s">
        <v>130</v>
      </c>
      <c r="B23">
        <v>20392239</v>
      </c>
      <c r="C23" t="s">
        <v>53</v>
      </c>
      <c r="D23" t="s">
        <v>146</v>
      </c>
      <c r="E23" t="s">
        <v>147</v>
      </c>
      <c r="F23" t="s">
        <v>148</v>
      </c>
      <c r="G23" t="s">
        <v>149</v>
      </c>
      <c r="H23" t="s">
        <v>25</v>
      </c>
      <c r="I23" t="s">
        <v>150</v>
      </c>
      <c r="J23" t="s">
        <v>141</v>
      </c>
      <c r="L23" t="s">
        <v>39</v>
      </c>
      <c r="M23">
        <v>2</v>
      </c>
      <c r="O23">
        <v>0</v>
      </c>
      <c r="P23" t="s">
        <v>31</v>
      </c>
      <c r="Q23" t="s">
        <v>59</v>
      </c>
      <c r="R23">
        <v>125</v>
      </c>
    </row>
    <row r="24" spans="1:18" x14ac:dyDescent="0.45">
      <c r="A24" t="s">
        <v>130</v>
      </c>
      <c r="B24">
        <v>18708064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 t="s">
        <v>25</v>
      </c>
      <c r="I24" t="s">
        <v>19</v>
      </c>
      <c r="J24" t="s">
        <v>141</v>
      </c>
      <c r="L24" t="s">
        <v>29</v>
      </c>
      <c r="M24">
        <v>7</v>
      </c>
      <c r="O24">
        <v>0</v>
      </c>
      <c r="P24" t="s">
        <v>31</v>
      </c>
      <c r="Q24" t="s">
        <v>59</v>
      </c>
      <c r="R24">
        <v>125</v>
      </c>
    </row>
    <row r="25" spans="1:18" x14ac:dyDescent="0.45">
      <c r="A25" t="s">
        <v>156</v>
      </c>
      <c r="B25">
        <v>20392239</v>
      </c>
      <c r="C25" t="s">
        <v>53</v>
      </c>
      <c r="D25" t="s">
        <v>157</v>
      </c>
      <c r="E25" t="s">
        <v>158</v>
      </c>
      <c r="F25" t="s">
        <v>159</v>
      </c>
      <c r="G25" t="s">
        <v>160</v>
      </c>
      <c r="H25" t="s">
        <v>25</v>
      </c>
      <c r="I25" t="s">
        <v>161</v>
      </c>
      <c r="J25" t="s">
        <v>27</v>
      </c>
      <c r="K25" t="s">
        <v>81</v>
      </c>
      <c r="L25" t="s">
        <v>39</v>
      </c>
      <c r="M25">
        <v>15</v>
      </c>
      <c r="N25" t="s">
        <v>30</v>
      </c>
      <c r="O25">
        <v>3</v>
      </c>
      <c r="P25" t="s">
        <v>31</v>
      </c>
      <c r="Q25" t="s">
        <v>32</v>
      </c>
      <c r="R25">
        <v>-125</v>
      </c>
    </row>
    <row r="26" spans="1:18" x14ac:dyDescent="0.45">
      <c r="A26" t="s">
        <v>156</v>
      </c>
      <c r="B26">
        <v>19832009</v>
      </c>
      <c r="C26" t="s">
        <v>33</v>
      </c>
      <c r="D26" t="s">
        <v>162</v>
      </c>
      <c r="E26" t="s">
        <v>163</v>
      </c>
      <c r="F26" t="s">
        <v>164</v>
      </c>
      <c r="G26" t="s">
        <v>63</v>
      </c>
      <c r="H26" t="s">
        <v>25</v>
      </c>
      <c r="I26" t="s">
        <v>165</v>
      </c>
      <c r="J26" t="s">
        <v>27</v>
      </c>
      <c r="K26" t="s">
        <v>81</v>
      </c>
      <c r="L26" t="s">
        <v>39</v>
      </c>
      <c r="M26">
        <v>9</v>
      </c>
      <c r="N26" t="s">
        <v>30</v>
      </c>
      <c r="O26">
        <v>14</v>
      </c>
      <c r="P26" t="s">
        <v>31</v>
      </c>
      <c r="Q26" t="s">
        <v>32</v>
      </c>
      <c r="R26">
        <v>-125</v>
      </c>
    </row>
    <row r="27" spans="1:18" x14ac:dyDescent="0.45">
      <c r="A27" t="s">
        <v>156</v>
      </c>
      <c r="B27">
        <v>18708064</v>
      </c>
      <c r="C27" t="s">
        <v>151</v>
      </c>
      <c r="D27" t="s">
        <v>166</v>
      </c>
      <c r="E27" t="s">
        <v>167</v>
      </c>
      <c r="F27" t="s">
        <v>168</v>
      </c>
      <c r="G27" t="s">
        <v>169</v>
      </c>
      <c r="H27" t="s">
        <v>25</v>
      </c>
      <c r="I27" t="s">
        <v>38</v>
      </c>
      <c r="J27" t="s">
        <v>27</v>
      </c>
      <c r="K27" t="s">
        <v>81</v>
      </c>
      <c r="L27" t="s">
        <v>29</v>
      </c>
      <c r="M27">
        <v>1</v>
      </c>
      <c r="N27" t="s">
        <v>30</v>
      </c>
      <c r="O27">
        <v>5</v>
      </c>
      <c r="P27" t="s">
        <v>31</v>
      </c>
      <c r="Q27" t="s">
        <v>32</v>
      </c>
      <c r="R27">
        <v>-125</v>
      </c>
    </row>
    <row r="28" spans="1:18" x14ac:dyDescent="0.45">
      <c r="A28" t="s">
        <v>156</v>
      </c>
      <c r="B28">
        <v>20182775</v>
      </c>
      <c r="C28" t="s">
        <v>65</v>
      </c>
      <c r="D28" t="s">
        <v>170</v>
      </c>
      <c r="E28" t="s">
        <v>171</v>
      </c>
      <c r="F28" t="s">
        <v>172</v>
      </c>
      <c r="G28" t="s">
        <v>173</v>
      </c>
      <c r="H28" t="s">
        <v>25</v>
      </c>
      <c r="I28" t="s">
        <v>174</v>
      </c>
      <c r="J28" t="s">
        <v>175</v>
      </c>
      <c r="L28" t="s">
        <v>29</v>
      </c>
      <c r="M28">
        <v>2</v>
      </c>
      <c r="N28" t="s">
        <v>91</v>
      </c>
      <c r="O28">
        <v>2</v>
      </c>
      <c r="P28" t="s">
        <v>176</v>
      </c>
      <c r="Q28" t="s">
        <v>59</v>
      </c>
      <c r="R28">
        <v>5</v>
      </c>
    </row>
    <row r="29" spans="1:18" x14ac:dyDescent="0.45">
      <c r="A29" t="s">
        <v>156</v>
      </c>
      <c r="B29">
        <v>19832009</v>
      </c>
      <c r="C29" t="s">
        <v>33</v>
      </c>
      <c r="D29" t="s">
        <v>183</v>
      </c>
      <c r="E29" t="s">
        <v>184</v>
      </c>
      <c r="F29" t="s">
        <v>185</v>
      </c>
      <c r="G29" t="s">
        <v>186</v>
      </c>
      <c r="H29" t="s">
        <v>25</v>
      </c>
      <c r="I29" t="s">
        <v>187</v>
      </c>
      <c r="J29" t="s">
        <v>188</v>
      </c>
      <c r="L29" t="s">
        <v>29</v>
      </c>
      <c r="M29">
        <v>7</v>
      </c>
      <c r="O29">
        <v>0</v>
      </c>
      <c r="P29" t="s">
        <v>31</v>
      </c>
      <c r="Q29" t="s">
        <v>59</v>
      </c>
      <c r="R29">
        <v>125</v>
      </c>
    </row>
    <row r="30" spans="1:18" x14ac:dyDescent="0.45">
      <c r="A30" t="s">
        <v>156</v>
      </c>
      <c r="B30">
        <v>20182775</v>
      </c>
      <c r="C30" t="s">
        <v>65</v>
      </c>
      <c r="D30" t="s">
        <v>189</v>
      </c>
      <c r="E30" t="s">
        <v>190</v>
      </c>
      <c r="F30" t="s">
        <v>191</v>
      </c>
      <c r="G30" t="s">
        <v>192</v>
      </c>
      <c r="H30" t="s">
        <v>25</v>
      </c>
      <c r="I30" t="s">
        <v>193</v>
      </c>
      <c r="J30" t="s">
        <v>141</v>
      </c>
      <c r="L30" t="s">
        <v>29</v>
      </c>
      <c r="M30">
        <v>7</v>
      </c>
      <c r="O30">
        <v>0</v>
      </c>
      <c r="P30" t="s">
        <v>31</v>
      </c>
      <c r="Q30" t="s">
        <v>59</v>
      </c>
      <c r="R30">
        <v>125</v>
      </c>
    </row>
    <row r="31" spans="1:18" x14ac:dyDescent="0.45">
      <c r="A31" t="s">
        <v>156</v>
      </c>
      <c r="B31">
        <v>20392239</v>
      </c>
      <c r="C31" t="s">
        <v>53</v>
      </c>
      <c r="D31" t="s">
        <v>194</v>
      </c>
      <c r="E31" t="s">
        <v>195</v>
      </c>
      <c r="F31" t="s">
        <v>196</v>
      </c>
      <c r="G31" t="s">
        <v>197</v>
      </c>
      <c r="H31" t="s">
        <v>25</v>
      </c>
      <c r="I31" t="s">
        <v>75</v>
      </c>
      <c r="J31" t="s">
        <v>141</v>
      </c>
      <c r="L31" t="s">
        <v>39</v>
      </c>
      <c r="M31">
        <v>12</v>
      </c>
      <c r="O31">
        <v>0</v>
      </c>
      <c r="P31" t="s">
        <v>31</v>
      </c>
      <c r="Q31" t="s">
        <v>59</v>
      </c>
      <c r="R31">
        <v>125</v>
      </c>
    </row>
    <row r="32" spans="1:18" x14ac:dyDescent="0.45">
      <c r="A32" t="s">
        <v>156</v>
      </c>
      <c r="B32">
        <v>19832009</v>
      </c>
      <c r="C32" t="s">
        <v>33</v>
      </c>
      <c r="D32" t="s">
        <v>198</v>
      </c>
      <c r="E32" t="s">
        <v>199</v>
      </c>
      <c r="F32" t="s">
        <v>200</v>
      </c>
      <c r="G32" t="s">
        <v>201</v>
      </c>
      <c r="H32" t="s">
        <v>25</v>
      </c>
      <c r="I32" t="s">
        <v>202</v>
      </c>
      <c r="J32" t="s">
        <v>203</v>
      </c>
      <c r="L32" t="s">
        <v>29</v>
      </c>
      <c r="M32">
        <v>1</v>
      </c>
      <c r="O32">
        <v>0</v>
      </c>
      <c r="P32" t="s">
        <v>31</v>
      </c>
      <c r="Q32" t="s">
        <v>59</v>
      </c>
      <c r="R32">
        <v>125</v>
      </c>
    </row>
    <row r="33" spans="1:18" x14ac:dyDescent="0.45">
      <c r="A33" t="s">
        <v>156</v>
      </c>
      <c r="B33">
        <v>19832009</v>
      </c>
      <c r="C33" t="s">
        <v>33</v>
      </c>
      <c r="D33" t="s">
        <v>204</v>
      </c>
      <c r="E33" t="s">
        <v>205</v>
      </c>
      <c r="F33" t="s">
        <v>206</v>
      </c>
      <c r="G33" t="s">
        <v>207</v>
      </c>
      <c r="H33" t="s">
        <v>25</v>
      </c>
      <c r="I33" t="s">
        <v>187</v>
      </c>
      <c r="J33" t="s">
        <v>141</v>
      </c>
      <c r="L33" t="s">
        <v>29</v>
      </c>
      <c r="M33">
        <v>1</v>
      </c>
      <c r="O33">
        <v>0</v>
      </c>
      <c r="P33" t="s">
        <v>31</v>
      </c>
      <c r="Q33" t="s">
        <v>59</v>
      </c>
      <c r="R33">
        <v>125</v>
      </c>
    </row>
    <row r="34" spans="1:18" x14ac:dyDescent="0.45">
      <c r="A34" t="s">
        <v>156</v>
      </c>
      <c r="B34">
        <v>20182775</v>
      </c>
      <c r="C34" t="s">
        <v>65</v>
      </c>
      <c r="D34" t="s">
        <v>208</v>
      </c>
      <c r="E34" t="s">
        <v>209</v>
      </c>
      <c r="F34" t="s">
        <v>210</v>
      </c>
      <c r="G34" t="s">
        <v>211</v>
      </c>
      <c r="H34" t="s">
        <v>25</v>
      </c>
      <c r="I34" t="s">
        <v>212</v>
      </c>
      <c r="J34" t="s">
        <v>175</v>
      </c>
      <c r="L34" t="s">
        <v>29</v>
      </c>
      <c r="M34">
        <v>2</v>
      </c>
      <c r="N34" t="s">
        <v>91</v>
      </c>
      <c r="O34">
        <v>2</v>
      </c>
      <c r="P34" t="s">
        <v>176</v>
      </c>
      <c r="Q34" t="s">
        <v>59</v>
      </c>
      <c r="R34">
        <v>5</v>
      </c>
    </row>
    <row r="35" spans="1:18" x14ac:dyDescent="0.45">
      <c r="A35" t="s">
        <v>156</v>
      </c>
      <c r="B35">
        <v>19832009</v>
      </c>
      <c r="C35" t="s">
        <v>33</v>
      </c>
      <c r="D35" t="s">
        <v>213</v>
      </c>
      <c r="E35" t="s">
        <v>214</v>
      </c>
      <c r="F35" t="s">
        <v>215</v>
      </c>
      <c r="G35" t="s">
        <v>216</v>
      </c>
      <c r="H35" t="s">
        <v>25</v>
      </c>
      <c r="I35" t="s">
        <v>217</v>
      </c>
      <c r="J35" t="s">
        <v>175</v>
      </c>
      <c r="L35" t="s">
        <v>29</v>
      </c>
      <c r="M35">
        <v>2</v>
      </c>
      <c r="N35" t="s">
        <v>91</v>
      </c>
      <c r="O35">
        <v>2</v>
      </c>
      <c r="P35" t="s">
        <v>176</v>
      </c>
      <c r="Q35" t="s">
        <v>59</v>
      </c>
      <c r="R35">
        <v>5</v>
      </c>
    </row>
    <row r="37" spans="1:18" x14ac:dyDescent="0.45">
      <c r="Q37" s="1" t="s">
        <v>227</v>
      </c>
      <c r="R37" s="2">
        <f>SUM(R2:R36)</f>
        <v>1671.25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4269-F35E-4A6B-9F01-265123CBB6B3}">
  <dimension ref="A1:N41"/>
  <sheetViews>
    <sheetView tabSelected="1" topLeftCell="A13" workbookViewId="0">
      <selection activeCell="J41" sqref="J41:L41"/>
    </sheetView>
  </sheetViews>
  <sheetFormatPr defaultRowHeight="14.25" x14ac:dyDescent="0.45"/>
  <cols>
    <col min="1" max="1" width="13.46484375" bestFit="1" customWidth="1"/>
    <col min="2" max="2" width="17.796875" bestFit="1" customWidth="1"/>
    <col min="3" max="3" width="9.6640625" bestFit="1" customWidth="1"/>
    <col min="4" max="4" width="13.1328125" bestFit="1" customWidth="1"/>
    <col min="5" max="5" width="16.46484375" bestFit="1" customWidth="1"/>
    <col min="6" max="6" width="12" bestFit="1" customWidth="1"/>
    <col min="7" max="7" width="12.19921875" bestFit="1" customWidth="1"/>
    <col min="8" max="8" width="8" bestFit="1" customWidth="1"/>
    <col min="9" max="9" width="4.33203125" bestFit="1" customWidth="1"/>
    <col min="10" max="10" width="12.796875" bestFit="1" customWidth="1"/>
    <col min="11" max="11" width="13.53125" bestFit="1" customWidth="1"/>
    <col min="12" max="12" width="15.53125" bestFit="1" customWidth="1"/>
    <col min="13" max="13" width="6.19921875" bestFit="1" customWidth="1"/>
    <col min="14" max="14" width="11.53125" bestFit="1" customWidth="1"/>
  </cols>
  <sheetData>
    <row r="1" spans="1:14" x14ac:dyDescent="0.4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 x14ac:dyDescent="0.45">
      <c r="A2" t="s">
        <v>19</v>
      </c>
      <c r="B2" t="s">
        <v>20</v>
      </c>
      <c r="C2" t="s">
        <v>21</v>
      </c>
      <c r="D2" t="s">
        <v>23</v>
      </c>
      <c r="E2" t="s">
        <v>24</v>
      </c>
      <c r="F2" t="s">
        <v>27</v>
      </c>
      <c r="G2" t="s">
        <v>28</v>
      </c>
      <c r="H2" t="s">
        <v>29</v>
      </c>
      <c r="I2">
        <v>1</v>
      </c>
      <c r="J2" t="s">
        <v>30</v>
      </c>
      <c r="K2">
        <v>5</v>
      </c>
      <c r="L2" t="s">
        <v>31</v>
      </c>
      <c r="M2" t="s">
        <v>32</v>
      </c>
      <c r="N2">
        <v>-347</v>
      </c>
    </row>
    <row r="3" spans="1:14" x14ac:dyDescent="0.45">
      <c r="A3" t="s">
        <v>19</v>
      </c>
      <c r="B3" t="s">
        <v>33</v>
      </c>
      <c r="C3" t="s">
        <v>34</v>
      </c>
      <c r="D3" t="s">
        <v>36</v>
      </c>
      <c r="E3" t="s">
        <v>37</v>
      </c>
      <c r="F3" t="s">
        <v>27</v>
      </c>
      <c r="H3" t="s">
        <v>39</v>
      </c>
      <c r="I3">
        <v>16</v>
      </c>
      <c r="J3" t="s">
        <v>30</v>
      </c>
      <c r="K3">
        <v>5</v>
      </c>
      <c r="L3" t="s">
        <v>31</v>
      </c>
      <c r="M3" t="s">
        <v>32</v>
      </c>
      <c r="N3">
        <v>347</v>
      </c>
    </row>
    <row r="4" spans="1:14" x14ac:dyDescent="0.45">
      <c r="A4" t="s">
        <v>19</v>
      </c>
      <c r="B4" t="s">
        <v>33</v>
      </c>
      <c r="C4" t="s">
        <v>40</v>
      </c>
      <c r="D4" t="s">
        <v>42</v>
      </c>
      <c r="E4" t="s">
        <v>43</v>
      </c>
      <c r="F4" t="s">
        <v>27</v>
      </c>
      <c r="G4" t="s">
        <v>28</v>
      </c>
      <c r="H4" t="s">
        <v>39</v>
      </c>
      <c r="I4">
        <v>16</v>
      </c>
      <c r="J4" t="s">
        <v>30</v>
      </c>
      <c r="K4">
        <v>5</v>
      </c>
      <c r="L4" t="s">
        <v>31</v>
      </c>
      <c r="M4" t="s">
        <v>32</v>
      </c>
      <c r="N4">
        <v>-347</v>
      </c>
    </row>
    <row r="5" spans="1:14" x14ac:dyDescent="0.45">
      <c r="A5" t="s">
        <v>19</v>
      </c>
      <c r="B5" t="s">
        <v>45</v>
      </c>
      <c r="C5" t="s">
        <v>46</v>
      </c>
      <c r="D5" t="s">
        <v>48</v>
      </c>
      <c r="E5" t="s">
        <v>49</v>
      </c>
      <c r="F5" t="s">
        <v>51</v>
      </c>
      <c r="H5" t="s">
        <v>29</v>
      </c>
      <c r="I5">
        <v>2</v>
      </c>
      <c r="K5">
        <v>0</v>
      </c>
      <c r="L5" t="s">
        <v>31</v>
      </c>
      <c r="M5" t="s">
        <v>52</v>
      </c>
      <c r="N5">
        <v>-289.16000000000003</v>
      </c>
    </row>
    <row r="6" spans="1:14" x14ac:dyDescent="0.45">
      <c r="A6" t="s">
        <v>19</v>
      </c>
      <c r="B6" t="s">
        <v>53</v>
      </c>
      <c r="C6" t="s">
        <v>54</v>
      </c>
      <c r="D6" t="s">
        <v>56</v>
      </c>
      <c r="E6" t="s">
        <v>57</v>
      </c>
      <c r="F6" t="s">
        <v>51</v>
      </c>
      <c r="H6" t="s">
        <v>39</v>
      </c>
      <c r="I6">
        <v>16</v>
      </c>
      <c r="K6">
        <v>0</v>
      </c>
      <c r="L6" t="s">
        <v>31</v>
      </c>
      <c r="M6" t="s">
        <v>59</v>
      </c>
      <c r="N6">
        <v>289.16000000000003</v>
      </c>
    </row>
    <row r="7" spans="1:14" x14ac:dyDescent="0.45">
      <c r="A7" t="s">
        <v>19</v>
      </c>
      <c r="B7" t="s">
        <v>45</v>
      </c>
      <c r="C7" t="s">
        <v>60</v>
      </c>
      <c r="D7" t="s">
        <v>62</v>
      </c>
      <c r="E7" t="s">
        <v>63</v>
      </c>
      <c r="F7" t="s">
        <v>51</v>
      </c>
      <c r="H7" t="s">
        <v>39</v>
      </c>
      <c r="I7">
        <v>15</v>
      </c>
      <c r="K7">
        <v>0</v>
      </c>
      <c r="L7" t="s">
        <v>31</v>
      </c>
      <c r="M7" t="s">
        <v>59</v>
      </c>
      <c r="N7">
        <v>289.16000000000003</v>
      </c>
    </row>
    <row r="8" spans="1:14" x14ac:dyDescent="0.45">
      <c r="A8" t="s">
        <v>19</v>
      </c>
      <c r="B8" t="s">
        <v>45</v>
      </c>
      <c r="C8" t="s">
        <v>70</v>
      </c>
      <c r="D8" t="s">
        <v>72</v>
      </c>
      <c r="E8" t="s">
        <v>73</v>
      </c>
      <c r="F8" t="s">
        <v>51</v>
      </c>
      <c r="H8" t="s">
        <v>39</v>
      </c>
      <c r="I8">
        <v>15</v>
      </c>
      <c r="K8">
        <v>0</v>
      </c>
      <c r="L8" t="s">
        <v>31</v>
      </c>
      <c r="M8" t="s">
        <v>59</v>
      </c>
      <c r="N8">
        <v>289.16000000000003</v>
      </c>
    </row>
    <row r="9" spans="1:14" x14ac:dyDescent="0.45">
      <c r="A9" t="s">
        <v>75</v>
      </c>
      <c r="B9" t="s">
        <v>53</v>
      </c>
      <c r="C9" t="s">
        <v>76</v>
      </c>
      <c r="D9" t="s">
        <v>78</v>
      </c>
      <c r="E9" t="s">
        <v>79</v>
      </c>
      <c r="F9" t="s">
        <v>27</v>
      </c>
      <c r="G9" t="s">
        <v>81</v>
      </c>
      <c r="H9" t="s">
        <v>29</v>
      </c>
      <c r="I9">
        <v>1</v>
      </c>
      <c r="J9" t="s">
        <v>30</v>
      </c>
      <c r="K9">
        <v>4</v>
      </c>
      <c r="L9" t="s">
        <v>31</v>
      </c>
      <c r="M9" t="s">
        <v>32</v>
      </c>
      <c r="N9">
        <v>-347</v>
      </c>
    </row>
    <row r="10" spans="1:14" x14ac:dyDescent="0.45">
      <c r="A10" t="s">
        <v>75</v>
      </c>
      <c r="B10" t="s">
        <v>45</v>
      </c>
      <c r="C10" t="s">
        <v>82</v>
      </c>
      <c r="D10" t="s">
        <v>84</v>
      </c>
      <c r="E10" t="s">
        <v>85</v>
      </c>
      <c r="F10" t="s">
        <v>27</v>
      </c>
      <c r="G10" t="s">
        <v>28</v>
      </c>
      <c r="H10" t="s">
        <v>39</v>
      </c>
      <c r="I10">
        <v>16</v>
      </c>
      <c r="J10" t="s">
        <v>30</v>
      </c>
      <c r="K10">
        <v>2</v>
      </c>
      <c r="L10" t="s">
        <v>31</v>
      </c>
      <c r="M10" t="s">
        <v>32</v>
      </c>
      <c r="N10">
        <v>-347</v>
      </c>
    </row>
    <row r="11" spans="1:14" x14ac:dyDescent="0.45">
      <c r="A11" t="s">
        <v>75</v>
      </c>
      <c r="B11" t="s">
        <v>87</v>
      </c>
      <c r="C11" t="s">
        <v>88</v>
      </c>
      <c r="D11" t="s">
        <v>89</v>
      </c>
      <c r="E11" t="s">
        <v>90</v>
      </c>
      <c r="F11" t="s">
        <v>51</v>
      </c>
      <c r="H11" t="s">
        <v>29</v>
      </c>
      <c r="I11">
        <v>7</v>
      </c>
      <c r="J11" t="s">
        <v>91</v>
      </c>
      <c r="K11">
        <v>1</v>
      </c>
      <c r="L11" t="s">
        <v>92</v>
      </c>
      <c r="M11" t="s">
        <v>52</v>
      </c>
      <c r="N11">
        <v>404.84</v>
      </c>
    </row>
    <row r="12" spans="1:14" x14ac:dyDescent="0.45">
      <c r="A12" t="s">
        <v>75</v>
      </c>
      <c r="B12" t="s">
        <v>45</v>
      </c>
      <c r="C12" t="s">
        <v>70</v>
      </c>
      <c r="D12" t="s">
        <v>72</v>
      </c>
      <c r="E12" t="s">
        <v>73</v>
      </c>
      <c r="F12" t="s">
        <v>51</v>
      </c>
      <c r="H12" t="s">
        <v>39</v>
      </c>
      <c r="I12">
        <v>15</v>
      </c>
      <c r="J12" t="s">
        <v>93</v>
      </c>
      <c r="K12">
        <v>1</v>
      </c>
      <c r="L12" t="s">
        <v>92</v>
      </c>
      <c r="M12" t="s">
        <v>59</v>
      </c>
      <c r="N12">
        <v>404.84</v>
      </c>
    </row>
    <row r="13" spans="1:14" x14ac:dyDescent="0.45">
      <c r="A13" t="s">
        <v>75</v>
      </c>
      <c r="B13" t="s">
        <v>45</v>
      </c>
      <c r="C13" t="s">
        <v>94</v>
      </c>
      <c r="D13" t="s">
        <v>96</v>
      </c>
      <c r="E13" t="s">
        <v>97</v>
      </c>
      <c r="F13" t="s">
        <v>51</v>
      </c>
      <c r="H13" t="s">
        <v>39</v>
      </c>
      <c r="I13">
        <v>12</v>
      </c>
      <c r="J13" t="s">
        <v>91</v>
      </c>
      <c r="K13">
        <v>1</v>
      </c>
      <c r="L13" t="s">
        <v>92</v>
      </c>
      <c r="M13" t="s">
        <v>59</v>
      </c>
      <c r="N13">
        <v>694</v>
      </c>
    </row>
    <row r="14" spans="1:14" x14ac:dyDescent="0.45">
      <c r="A14" t="s">
        <v>75</v>
      </c>
      <c r="B14" t="s">
        <v>20</v>
      </c>
      <c r="C14" t="s">
        <v>99</v>
      </c>
      <c r="D14" t="s">
        <v>101</v>
      </c>
      <c r="E14" t="s">
        <v>102</v>
      </c>
      <c r="F14" t="s">
        <v>51</v>
      </c>
      <c r="H14" t="s">
        <v>39</v>
      </c>
      <c r="I14">
        <v>16</v>
      </c>
      <c r="J14" t="s">
        <v>30</v>
      </c>
      <c r="K14">
        <v>8</v>
      </c>
      <c r="L14" t="s">
        <v>31</v>
      </c>
      <c r="M14" t="s">
        <v>59</v>
      </c>
      <c r="N14">
        <v>289.16000000000003</v>
      </c>
    </row>
    <row r="15" spans="1:14" x14ac:dyDescent="0.45">
      <c r="A15" t="s">
        <v>75</v>
      </c>
      <c r="B15" t="s">
        <v>20</v>
      </c>
      <c r="C15" t="s">
        <v>104</v>
      </c>
      <c r="D15" t="s">
        <v>106</v>
      </c>
      <c r="E15" t="s">
        <v>107</v>
      </c>
      <c r="F15" t="s">
        <v>51</v>
      </c>
      <c r="H15" t="s">
        <v>29</v>
      </c>
      <c r="I15">
        <v>1</v>
      </c>
      <c r="J15" t="s">
        <v>30</v>
      </c>
      <c r="K15">
        <v>3</v>
      </c>
      <c r="L15" t="s">
        <v>31</v>
      </c>
      <c r="M15" t="s">
        <v>59</v>
      </c>
      <c r="N15">
        <v>289.16000000000003</v>
      </c>
    </row>
    <row r="16" spans="1:14" x14ac:dyDescent="0.45">
      <c r="A16" t="s">
        <v>75</v>
      </c>
      <c r="B16" t="s">
        <v>33</v>
      </c>
      <c r="C16" t="s">
        <v>109</v>
      </c>
      <c r="D16" t="s">
        <v>111</v>
      </c>
      <c r="E16" t="s">
        <v>112</v>
      </c>
      <c r="F16" t="s">
        <v>51</v>
      </c>
      <c r="H16" t="s">
        <v>29</v>
      </c>
      <c r="I16">
        <v>1</v>
      </c>
      <c r="J16" t="s">
        <v>30</v>
      </c>
      <c r="K16">
        <v>2</v>
      </c>
      <c r="L16" t="s">
        <v>31</v>
      </c>
      <c r="M16" t="s">
        <v>59</v>
      </c>
      <c r="N16">
        <v>289.16000000000003</v>
      </c>
    </row>
    <row r="17" spans="1:14" x14ac:dyDescent="0.45">
      <c r="A17" t="s">
        <v>75</v>
      </c>
      <c r="B17" t="s">
        <v>20</v>
      </c>
      <c r="C17" t="s">
        <v>113</v>
      </c>
      <c r="D17" t="s">
        <v>115</v>
      </c>
      <c r="E17" t="s">
        <v>116</v>
      </c>
      <c r="F17" t="s">
        <v>51</v>
      </c>
      <c r="H17" t="s">
        <v>39</v>
      </c>
      <c r="I17">
        <v>16</v>
      </c>
      <c r="K17">
        <v>0</v>
      </c>
      <c r="L17" t="s">
        <v>31</v>
      </c>
      <c r="M17" t="s">
        <v>59</v>
      </c>
      <c r="N17">
        <v>289.16000000000003</v>
      </c>
    </row>
    <row r="18" spans="1:14" x14ac:dyDescent="0.45">
      <c r="A18" t="s">
        <v>75</v>
      </c>
      <c r="B18" t="s">
        <v>20</v>
      </c>
      <c r="C18" t="s">
        <v>121</v>
      </c>
      <c r="D18" t="s">
        <v>123</v>
      </c>
      <c r="E18" t="s">
        <v>124</v>
      </c>
      <c r="F18" t="s">
        <v>51</v>
      </c>
      <c r="H18" t="s">
        <v>29</v>
      </c>
      <c r="I18">
        <v>1</v>
      </c>
      <c r="J18" t="s">
        <v>91</v>
      </c>
      <c r="K18">
        <v>1</v>
      </c>
      <c r="L18" t="s">
        <v>92</v>
      </c>
      <c r="M18" t="s">
        <v>59</v>
      </c>
      <c r="N18">
        <v>694</v>
      </c>
    </row>
    <row r="19" spans="1:14" x14ac:dyDescent="0.45">
      <c r="A19" t="s">
        <v>75</v>
      </c>
      <c r="B19" t="s">
        <v>45</v>
      </c>
      <c r="C19" t="s">
        <v>125</v>
      </c>
      <c r="D19" t="s">
        <v>127</v>
      </c>
      <c r="E19" t="s">
        <v>128</v>
      </c>
      <c r="F19" t="s">
        <v>51</v>
      </c>
      <c r="H19" t="s">
        <v>39</v>
      </c>
      <c r="I19">
        <v>12</v>
      </c>
      <c r="J19" t="s">
        <v>91</v>
      </c>
      <c r="K19">
        <v>1</v>
      </c>
      <c r="L19" t="s">
        <v>92</v>
      </c>
      <c r="M19" t="s">
        <v>59</v>
      </c>
      <c r="N19">
        <v>694</v>
      </c>
    </row>
    <row r="20" spans="1:14" x14ac:dyDescent="0.45">
      <c r="A20" t="s">
        <v>130</v>
      </c>
      <c r="B20" t="s">
        <v>53</v>
      </c>
      <c r="C20" t="s">
        <v>131</v>
      </c>
      <c r="D20" t="s">
        <v>133</v>
      </c>
      <c r="E20" t="s">
        <v>134</v>
      </c>
      <c r="F20" t="s">
        <v>27</v>
      </c>
      <c r="G20" t="s">
        <v>81</v>
      </c>
      <c r="H20" t="s">
        <v>29</v>
      </c>
      <c r="I20">
        <v>1</v>
      </c>
      <c r="J20" t="s">
        <v>93</v>
      </c>
      <c r="K20">
        <v>1</v>
      </c>
      <c r="L20" t="s">
        <v>92</v>
      </c>
      <c r="M20" t="s">
        <v>32</v>
      </c>
      <c r="N20">
        <v>-520.5</v>
      </c>
    </row>
    <row r="21" spans="1:14" x14ac:dyDescent="0.45">
      <c r="A21" t="s">
        <v>130</v>
      </c>
      <c r="B21" t="s">
        <v>20</v>
      </c>
      <c r="C21" t="s">
        <v>136</v>
      </c>
      <c r="D21" t="s">
        <v>138</v>
      </c>
      <c r="E21" t="s">
        <v>139</v>
      </c>
      <c r="F21" t="s">
        <v>141</v>
      </c>
      <c r="H21" t="s">
        <v>39</v>
      </c>
      <c r="I21">
        <v>16</v>
      </c>
      <c r="K21">
        <v>0</v>
      </c>
      <c r="L21" t="s">
        <v>31</v>
      </c>
      <c r="M21" t="s">
        <v>59</v>
      </c>
      <c r="N21">
        <v>260.25</v>
      </c>
    </row>
    <row r="22" spans="1:14" x14ac:dyDescent="0.45">
      <c r="A22" t="s">
        <v>130</v>
      </c>
      <c r="B22" t="s">
        <v>33</v>
      </c>
      <c r="C22" t="s">
        <v>142</v>
      </c>
      <c r="D22" t="s">
        <v>144</v>
      </c>
      <c r="E22" t="s">
        <v>145</v>
      </c>
      <c r="F22" t="s">
        <v>51</v>
      </c>
      <c r="H22" t="s">
        <v>29</v>
      </c>
      <c r="I22">
        <v>2</v>
      </c>
      <c r="J22" t="s">
        <v>91</v>
      </c>
      <c r="K22">
        <v>1</v>
      </c>
      <c r="L22" t="s">
        <v>92</v>
      </c>
      <c r="M22" t="s">
        <v>59</v>
      </c>
      <c r="N22">
        <v>694</v>
      </c>
    </row>
    <row r="23" spans="1:14" x14ac:dyDescent="0.45">
      <c r="A23" t="s">
        <v>130</v>
      </c>
      <c r="B23" t="s">
        <v>53</v>
      </c>
      <c r="C23" t="s">
        <v>146</v>
      </c>
      <c r="D23" t="s">
        <v>148</v>
      </c>
      <c r="E23" t="s">
        <v>149</v>
      </c>
      <c r="F23" t="s">
        <v>141</v>
      </c>
      <c r="H23" t="s">
        <v>39</v>
      </c>
      <c r="I23">
        <v>2</v>
      </c>
      <c r="K23">
        <v>0</v>
      </c>
      <c r="L23" t="s">
        <v>31</v>
      </c>
      <c r="M23" t="s">
        <v>59</v>
      </c>
      <c r="N23">
        <v>260.25</v>
      </c>
    </row>
    <row r="24" spans="1:14" x14ac:dyDescent="0.45">
      <c r="A24" t="s">
        <v>130</v>
      </c>
      <c r="B24" t="s">
        <v>151</v>
      </c>
      <c r="C24" t="s">
        <v>152</v>
      </c>
      <c r="D24" t="s">
        <v>154</v>
      </c>
      <c r="E24" t="s">
        <v>155</v>
      </c>
      <c r="F24" t="s">
        <v>141</v>
      </c>
      <c r="H24" t="s">
        <v>29</v>
      </c>
      <c r="I24">
        <v>7</v>
      </c>
      <c r="K24">
        <v>0</v>
      </c>
      <c r="L24" t="s">
        <v>31</v>
      </c>
      <c r="M24" t="s">
        <v>59</v>
      </c>
      <c r="N24">
        <v>260.25</v>
      </c>
    </row>
    <row r="25" spans="1:14" x14ac:dyDescent="0.45">
      <c r="A25" t="s">
        <v>156</v>
      </c>
      <c r="B25" t="s">
        <v>53</v>
      </c>
      <c r="C25" t="s">
        <v>157</v>
      </c>
      <c r="D25" t="s">
        <v>159</v>
      </c>
      <c r="E25" t="s">
        <v>160</v>
      </c>
      <c r="F25" t="s">
        <v>27</v>
      </c>
      <c r="G25" t="s">
        <v>81</v>
      </c>
      <c r="H25" t="s">
        <v>39</v>
      </c>
      <c r="I25">
        <v>15</v>
      </c>
      <c r="J25" t="s">
        <v>30</v>
      </c>
      <c r="K25">
        <v>3</v>
      </c>
      <c r="L25" t="s">
        <v>31</v>
      </c>
      <c r="M25" t="s">
        <v>32</v>
      </c>
      <c r="N25">
        <v>-347</v>
      </c>
    </row>
    <row r="26" spans="1:14" x14ac:dyDescent="0.45">
      <c r="A26" t="s">
        <v>156</v>
      </c>
      <c r="B26" t="s">
        <v>33</v>
      </c>
      <c r="C26" t="s">
        <v>162</v>
      </c>
      <c r="D26" t="s">
        <v>164</v>
      </c>
      <c r="E26" t="s">
        <v>63</v>
      </c>
      <c r="F26" t="s">
        <v>27</v>
      </c>
      <c r="G26" t="s">
        <v>81</v>
      </c>
      <c r="H26" t="s">
        <v>39</v>
      </c>
      <c r="I26">
        <v>9</v>
      </c>
      <c r="J26" t="s">
        <v>30</v>
      </c>
      <c r="K26">
        <v>14</v>
      </c>
      <c r="L26" t="s">
        <v>31</v>
      </c>
      <c r="M26" t="s">
        <v>32</v>
      </c>
      <c r="N26">
        <v>-347</v>
      </c>
    </row>
    <row r="27" spans="1:14" x14ac:dyDescent="0.45">
      <c r="A27" t="s">
        <v>156</v>
      </c>
      <c r="B27" t="s">
        <v>151</v>
      </c>
      <c r="C27" t="s">
        <v>166</v>
      </c>
      <c r="D27" t="s">
        <v>168</v>
      </c>
      <c r="E27" t="s">
        <v>169</v>
      </c>
      <c r="F27" t="s">
        <v>27</v>
      </c>
      <c r="G27" t="s">
        <v>81</v>
      </c>
      <c r="H27" t="s">
        <v>29</v>
      </c>
      <c r="I27">
        <v>1</v>
      </c>
      <c r="J27" t="s">
        <v>30</v>
      </c>
      <c r="K27">
        <v>5</v>
      </c>
      <c r="L27" t="s">
        <v>31</v>
      </c>
      <c r="M27" t="s">
        <v>32</v>
      </c>
      <c r="N27">
        <v>-347</v>
      </c>
    </row>
    <row r="28" spans="1:14" x14ac:dyDescent="0.45">
      <c r="A28" t="s">
        <v>156</v>
      </c>
      <c r="B28" t="s">
        <v>177</v>
      </c>
      <c r="C28" t="s">
        <v>178</v>
      </c>
      <c r="D28" t="s">
        <v>179</v>
      </c>
      <c r="E28" t="s">
        <v>180</v>
      </c>
      <c r="F28" t="s">
        <v>181</v>
      </c>
      <c r="H28" t="s">
        <v>182</v>
      </c>
      <c r="I28">
        <v>2</v>
      </c>
      <c r="J28" t="s">
        <v>91</v>
      </c>
      <c r="K28">
        <v>2</v>
      </c>
      <c r="L28" t="s">
        <v>176</v>
      </c>
      <c r="M28" t="s">
        <v>59</v>
      </c>
      <c r="N28">
        <v>28.91</v>
      </c>
    </row>
    <row r="29" spans="1:14" x14ac:dyDescent="0.45">
      <c r="A29" t="s">
        <v>156</v>
      </c>
      <c r="B29" t="s">
        <v>33</v>
      </c>
      <c r="C29" t="s">
        <v>183</v>
      </c>
      <c r="D29" t="s">
        <v>185</v>
      </c>
      <c r="E29" t="s">
        <v>186</v>
      </c>
      <c r="F29" t="s">
        <v>188</v>
      </c>
      <c r="H29" t="s">
        <v>29</v>
      </c>
      <c r="I29">
        <v>7</v>
      </c>
      <c r="K29">
        <v>0</v>
      </c>
      <c r="L29" t="s">
        <v>31</v>
      </c>
      <c r="M29" t="s">
        <v>59</v>
      </c>
      <c r="N29">
        <v>202.41</v>
      </c>
    </row>
    <row r="30" spans="1:14" x14ac:dyDescent="0.45">
      <c r="A30" t="s">
        <v>156</v>
      </c>
      <c r="B30" t="s">
        <v>53</v>
      </c>
      <c r="C30" t="s">
        <v>194</v>
      </c>
      <c r="D30" t="s">
        <v>196</v>
      </c>
      <c r="E30" t="s">
        <v>197</v>
      </c>
      <c r="F30" t="s">
        <v>141</v>
      </c>
      <c r="H30" t="s">
        <v>39</v>
      </c>
      <c r="I30">
        <v>12</v>
      </c>
      <c r="K30">
        <v>0</v>
      </c>
      <c r="L30" t="s">
        <v>31</v>
      </c>
      <c r="M30" t="s">
        <v>59</v>
      </c>
      <c r="N30">
        <v>260.25</v>
      </c>
    </row>
    <row r="31" spans="1:14" x14ac:dyDescent="0.45">
      <c r="A31" t="s">
        <v>156</v>
      </c>
      <c r="B31" t="s">
        <v>33</v>
      </c>
      <c r="C31" t="s">
        <v>198</v>
      </c>
      <c r="D31" t="s">
        <v>200</v>
      </c>
      <c r="E31" t="s">
        <v>201</v>
      </c>
      <c r="F31" t="s">
        <v>203</v>
      </c>
      <c r="H31" t="s">
        <v>29</v>
      </c>
      <c r="I31">
        <v>1</v>
      </c>
      <c r="K31">
        <v>0</v>
      </c>
      <c r="L31" t="s">
        <v>31</v>
      </c>
      <c r="M31" t="s">
        <v>59</v>
      </c>
      <c r="N31">
        <v>231.33</v>
      </c>
    </row>
    <row r="32" spans="1:14" x14ac:dyDescent="0.45">
      <c r="A32" t="s">
        <v>156</v>
      </c>
      <c r="B32" t="s">
        <v>33</v>
      </c>
      <c r="C32" t="s">
        <v>204</v>
      </c>
      <c r="D32" t="s">
        <v>206</v>
      </c>
      <c r="E32" t="s">
        <v>207</v>
      </c>
      <c r="F32" t="s">
        <v>141</v>
      </c>
      <c r="H32" t="s">
        <v>29</v>
      </c>
      <c r="I32">
        <v>1</v>
      </c>
      <c r="K32">
        <v>0</v>
      </c>
      <c r="L32" t="s">
        <v>31</v>
      </c>
      <c r="M32" t="s">
        <v>59</v>
      </c>
      <c r="N32">
        <v>260.25</v>
      </c>
    </row>
    <row r="33" spans="1:14" x14ac:dyDescent="0.45">
      <c r="A33" t="s">
        <v>156</v>
      </c>
      <c r="B33" t="s">
        <v>33</v>
      </c>
      <c r="C33" t="s">
        <v>213</v>
      </c>
      <c r="D33" t="s">
        <v>215</v>
      </c>
      <c r="E33" t="s">
        <v>216</v>
      </c>
      <c r="F33" t="s">
        <v>175</v>
      </c>
      <c r="H33" t="s">
        <v>29</v>
      </c>
      <c r="I33">
        <v>2</v>
      </c>
      <c r="J33" t="s">
        <v>91</v>
      </c>
      <c r="K33">
        <v>2</v>
      </c>
      <c r="L33" t="s">
        <v>176</v>
      </c>
      <c r="M33" t="s">
        <v>59</v>
      </c>
      <c r="N33">
        <v>28.91</v>
      </c>
    </row>
    <row r="35" spans="1:14" x14ac:dyDescent="0.45">
      <c r="M35" s="1"/>
      <c r="N35" s="2"/>
    </row>
    <row r="38" spans="1:14" x14ac:dyDescent="0.45">
      <c r="L38" s="4"/>
    </row>
    <row r="39" spans="1:14" x14ac:dyDescent="0.45">
      <c r="J39" s="6"/>
      <c r="K39" s="3"/>
      <c r="L39" s="4"/>
    </row>
    <row r="41" spans="1:14" x14ac:dyDescent="0.45">
      <c r="L41" s="1"/>
    </row>
  </sheetData>
  <autoFilter ref="A1:N35" xr:uid="{530A4269-F35E-4A6B-9F01-265123CBB6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C096-3F7D-4F3F-9789-0E8C0C4B514A}">
  <dimension ref="A1:D16"/>
  <sheetViews>
    <sheetView workbookViewId="0">
      <selection activeCell="B16" sqref="B16"/>
    </sheetView>
  </sheetViews>
  <sheetFormatPr defaultRowHeight="14.25" x14ac:dyDescent="0.45"/>
  <cols>
    <col min="1" max="1" width="17.6640625" bestFit="1" customWidth="1"/>
    <col min="3" max="3" width="8.1328125" bestFit="1" customWidth="1"/>
    <col min="4" max="4" width="48" bestFit="1" customWidth="1"/>
  </cols>
  <sheetData>
    <row r="1" spans="1:4" x14ac:dyDescent="0.45">
      <c r="A1" t="s">
        <v>226</v>
      </c>
      <c r="B1" t="s">
        <v>225</v>
      </c>
      <c r="C1" t="s">
        <v>224</v>
      </c>
      <c r="D1" t="s">
        <v>223</v>
      </c>
    </row>
    <row r="2" spans="1:4" x14ac:dyDescent="0.45">
      <c r="A2" t="s">
        <v>45</v>
      </c>
      <c r="B2" t="s">
        <v>221</v>
      </c>
      <c r="C2" s="3">
        <v>50</v>
      </c>
      <c r="D2" t="s">
        <v>239</v>
      </c>
    </row>
    <row r="3" spans="1:4" x14ac:dyDescent="0.45">
      <c r="A3" t="s">
        <v>20</v>
      </c>
      <c r="B3" t="s">
        <v>220</v>
      </c>
      <c r="C3" s="3">
        <v>50</v>
      </c>
      <c r="D3" t="s">
        <v>238</v>
      </c>
    </row>
    <row r="4" spans="1:4" x14ac:dyDescent="0.45">
      <c r="A4" t="s">
        <v>20</v>
      </c>
      <c r="B4" t="s">
        <v>220</v>
      </c>
      <c r="C4" s="3">
        <v>50</v>
      </c>
      <c r="D4" t="s">
        <v>237</v>
      </c>
    </row>
    <row r="5" spans="1:4" x14ac:dyDescent="0.45">
      <c r="A5" t="s">
        <v>33</v>
      </c>
      <c r="B5" t="s">
        <v>218</v>
      </c>
      <c r="C5" s="3">
        <v>50</v>
      </c>
      <c r="D5" t="s">
        <v>236</v>
      </c>
    </row>
    <row r="6" spans="1:4" x14ac:dyDescent="0.45">
      <c r="A6" t="s">
        <v>33</v>
      </c>
      <c r="B6" t="s">
        <v>218</v>
      </c>
      <c r="C6" s="3">
        <v>50</v>
      </c>
      <c r="D6" t="s">
        <v>235</v>
      </c>
    </row>
    <row r="7" spans="1:4" x14ac:dyDescent="0.45">
      <c r="A7" t="s">
        <v>53</v>
      </c>
      <c r="B7" t="s">
        <v>219</v>
      </c>
      <c r="C7" s="3">
        <v>50</v>
      </c>
      <c r="D7" t="s">
        <v>234</v>
      </c>
    </row>
    <row r="8" spans="1:4" x14ac:dyDescent="0.45">
      <c r="A8" t="s">
        <v>33</v>
      </c>
      <c r="B8" t="s">
        <v>218</v>
      </c>
      <c r="C8" s="3">
        <v>50</v>
      </c>
      <c r="D8" t="s">
        <v>233</v>
      </c>
    </row>
    <row r="9" spans="1:4" x14ac:dyDescent="0.45">
      <c r="A9" t="s">
        <v>20</v>
      </c>
      <c r="B9" t="s">
        <v>220</v>
      </c>
      <c r="C9" s="3">
        <v>50</v>
      </c>
      <c r="D9" t="s">
        <v>232</v>
      </c>
    </row>
    <row r="10" spans="1:4" x14ac:dyDescent="0.45">
      <c r="A10" t="s">
        <v>53</v>
      </c>
      <c r="B10" t="s">
        <v>219</v>
      </c>
      <c r="C10" s="3">
        <v>50</v>
      </c>
      <c r="D10" t="s">
        <v>231</v>
      </c>
    </row>
    <row r="11" spans="1:4" x14ac:dyDescent="0.45">
      <c r="A11" t="s">
        <v>45</v>
      </c>
      <c r="B11" t="s">
        <v>221</v>
      </c>
      <c r="C11" s="3">
        <v>50</v>
      </c>
      <c r="D11" t="s">
        <v>230</v>
      </c>
    </row>
    <row r="12" spans="1:4" x14ac:dyDescent="0.45">
      <c r="A12" t="s">
        <v>45</v>
      </c>
      <c r="B12" t="s">
        <v>221</v>
      </c>
      <c r="C12" s="3">
        <v>50</v>
      </c>
      <c r="D12" t="s">
        <v>222</v>
      </c>
    </row>
    <row r="13" spans="1:4" x14ac:dyDescent="0.45">
      <c r="A13" t="s">
        <v>45</v>
      </c>
      <c r="B13" t="s">
        <v>221</v>
      </c>
      <c r="C13" s="3">
        <v>50</v>
      </c>
      <c r="D13" t="s">
        <v>229</v>
      </c>
    </row>
    <row r="14" spans="1:4" x14ac:dyDescent="0.45">
      <c r="A14" t="s">
        <v>20</v>
      </c>
      <c r="B14" t="s">
        <v>220</v>
      </c>
      <c r="C14" s="3">
        <v>50</v>
      </c>
      <c r="D14" t="s">
        <v>228</v>
      </c>
    </row>
    <row r="16" spans="1:4" x14ac:dyDescent="0.45">
      <c r="B16" s="1" t="s">
        <v>227</v>
      </c>
      <c r="C16" s="4">
        <f>SUM(C2:C15)</f>
        <v>650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A6C06-9F94-4B7B-9D6C-15936A63DE8B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customXml/itemProps2.xml><?xml version="1.0" encoding="utf-8"?>
<ds:datastoreItem xmlns:ds="http://schemas.openxmlformats.org/officeDocument/2006/customXml" ds:itemID="{C9427289-3F15-45F1-B79B-B86E9BC484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6F4614-346D-4403-8963-242CDE171C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</vt:lpstr>
      <vt:lpstr>Override</vt:lpstr>
      <vt:lpstr>Agent Portion</vt:lpstr>
      <vt:lpstr>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Perkins</dc:creator>
  <cp:lastModifiedBy>AJ Bhatt</cp:lastModifiedBy>
  <dcterms:created xsi:type="dcterms:W3CDTF">2026-04-13T16:57:53Z</dcterms:created>
  <dcterms:modified xsi:type="dcterms:W3CDTF">2026-05-12T01:04:12Z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  <property fmtid="{D5CDD505-2E9C-101B-9397-08002B2CF9AE}" pid="3" name="MediaServiceImageTags">
    <vt:lpwstr/>
  </property>
</Properties>
</file>